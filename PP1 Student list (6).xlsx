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5"/>
    <sheet state="visible" name="Grade Summary" sheetId="2" r:id="rId6"/>
    <sheet state="visible" name="Staff Directory" sheetId="3" r:id="rId7"/>
    <sheet state="visible" name="Inventory Tracker" sheetId="4" r:id="rId8"/>
  </sheets>
  <definedNames/>
  <calcPr/>
</workbook>
</file>

<file path=xl/sharedStrings.xml><?xml version="1.0" encoding="utf-8"?>
<sst xmlns="http://schemas.openxmlformats.org/spreadsheetml/2006/main" count="907" uniqueCount="383">
  <si>
    <t>STUDENT DATA COLLECTION</t>
  </si>
  <si>
    <t>STAFF DATA COLLECTION</t>
  </si>
  <si>
    <t>GRADE SUMMARY</t>
  </si>
  <si>
    <t>SCHOOL INVENTORY COLLECTION</t>
  </si>
  <si>
    <t>Total Students Entered:</t>
  </si>
  <si>
    <t>Total Staff Entered:</t>
  </si>
  <si>
    <t>Total Items:</t>
  </si>
  <si>
    <t>Grade</t>
  </si>
  <si>
    <t>Total Fee Balance:</t>
  </si>
  <si>
    <t>Total Value:</t>
  </si>
  <si>
    <t>No.</t>
  </si>
  <si>
    <t>Staff ID</t>
  </si>
  <si>
    <t>Full Name</t>
  </si>
  <si>
    <t>Gender</t>
  </si>
  <si>
    <t>Phone</t>
  </si>
  <si>
    <t>Position</t>
  </si>
  <si>
    <t>Subject/Department</t>
  </si>
  <si>
    <t>Employment Type</t>
  </si>
  <si>
    <t>Adm No</t>
  </si>
  <si>
    <t>Date Joined</t>
  </si>
  <si>
    <t>Status</t>
  </si>
  <si>
    <t>Daniel Odongo</t>
  </si>
  <si>
    <t>Student Name</t>
  </si>
  <si>
    <t>Fee Balance</t>
  </si>
  <si>
    <t>Parent Name</t>
  </si>
  <si>
    <t>Parent Phone No</t>
  </si>
  <si>
    <t>Item ID</t>
  </si>
  <si>
    <t>0726904117</t>
  </si>
  <si>
    <t>Total Students</t>
  </si>
  <si>
    <t>Administrator</t>
  </si>
  <si>
    <t>Total Fee Balance</t>
  </si>
  <si>
    <t>Item Name</t>
  </si>
  <si>
    <t>Category</t>
  </si>
  <si>
    <t>Quantity</t>
  </si>
  <si>
    <t>Unit Price</t>
  </si>
  <si>
    <t>Total Value</t>
  </si>
  <si>
    <t>Condition</t>
  </si>
  <si>
    <t>Playgroup</t>
  </si>
  <si>
    <t>Robert Mogere</t>
  </si>
  <si>
    <t>0725925268</t>
  </si>
  <si>
    <t>—</t>
  </si>
  <si>
    <t>Amos Siro Onsongo</t>
  </si>
  <si>
    <t>0117587544</t>
  </si>
  <si>
    <t>Teacher</t>
  </si>
  <si>
    <t>Gordon Odiwuor</t>
  </si>
  <si>
    <t>0720207597</t>
  </si>
  <si>
    <t>Lillian Otieno</t>
  </si>
  <si>
    <t>0757542843</t>
  </si>
  <si>
    <t>Patricia Kusamboka</t>
  </si>
  <si>
    <t>0706185422</t>
  </si>
  <si>
    <t>Cleons Klein</t>
  </si>
  <si>
    <t>Sheilla Bosibori</t>
  </si>
  <si>
    <t>0793016108</t>
  </si>
  <si>
    <t>Alfine Otieno</t>
  </si>
  <si>
    <t>0117766761</t>
  </si>
  <si>
    <t>Agostine Ogega</t>
  </si>
  <si>
    <t>Jayden Makworo</t>
  </si>
  <si>
    <t>0700419964</t>
  </si>
  <si>
    <t>Shirleen Nyatero</t>
  </si>
  <si>
    <t>Morghan Amecha</t>
  </si>
  <si>
    <t>0798838358</t>
  </si>
  <si>
    <t>Eddah Moraa</t>
  </si>
  <si>
    <t>Anita Osoro</t>
  </si>
  <si>
    <t>Winnie Bosibori</t>
  </si>
  <si>
    <t>Victor Monari</t>
  </si>
  <si>
    <t>0111693700</t>
  </si>
  <si>
    <t>Merrane Kwamboka</t>
  </si>
  <si>
    <t>PP1</t>
  </si>
  <si>
    <t>Joshua Ngara</t>
  </si>
  <si>
    <t>0740550392</t>
  </si>
  <si>
    <t/>
  </si>
  <si>
    <t>Josephine Oiaro</t>
  </si>
  <si>
    <t>0701135478</t>
  </si>
  <si>
    <t>Giannah Moraa</t>
  </si>
  <si>
    <t>Raymond Alex Gichana</t>
  </si>
  <si>
    <t>Doreen Bosibori</t>
  </si>
  <si>
    <t>Fabian Mochoni</t>
  </si>
  <si>
    <t>Emmanuel Braxley</t>
  </si>
  <si>
    <t>Jayden Obegi</t>
  </si>
  <si>
    <t>Leon Mose</t>
  </si>
  <si>
    <t>PP2</t>
  </si>
  <si>
    <t>Blessings Nyabate</t>
  </si>
  <si>
    <t>Cecillia Kemunto</t>
  </si>
  <si>
    <t>0757655224</t>
  </si>
  <si>
    <t>Holy Bless Lucky</t>
  </si>
  <si>
    <t>Georges Ongera</t>
  </si>
  <si>
    <t>Leonidah Kigwaro</t>
  </si>
  <si>
    <t>Support Staff</t>
  </si>
  <si>
    <t>Emmanuel Nyankangi</t>
  </si>
  <si>
    <t>Melvin Nyantika</t>
  </si>
  <si>
    <t>Lucas Nyabuto</t>
  </si>
  <si>
    <t>Nicodemus Achuka</t>
  </si>
  <si>
    <t>Grayson Thomas</t>
  </si>
  <si>
    <t>0769779634</t>
  </si>
  <si>
    <t>Ezekiel Ongodi</t>
  </si>
  <si>
    <t>Grace Jefta</t>
  </si>
  <si>
    <t>Tiffan Kerubo</t>
  </si>
  <si>
    <t>0752808415</t>
  </si>
  <si>
    <t>Allen Alloys</t>
  </si>
  <si>
    <t>Jane Mora</t>
  </si>
  <si>
    <t>0710944832</t>
  </si>
  <si>
    <t>Precious Bosibori</t>
  </si>
  <si>
    <t>Grade 1</t>
  </si>
  <si>
    <t>Magdaline Zakayo</t>
  </si>
  <si>
    <t>Titus Ochara</t>
  </si>
  <si>
    <t>Ian Makana</t>
  </si>
  <si>
    <t>Jefta Makori</t>
  </si>
  <si>
    <t>Austine Orioki</t>
  </si>
  <si>
    <t>Jayden Angwonyi</t>
  </si>
  <si>
    <t>Shem Nyanamba</t>
  </si>
  <si>
    <t>Perpetua Kerubo</t>
  </si>
  <si>
    <t>Grade 2</t>
  </si>
  <si>
    <t>Wendy Favour</t>
  </si>
  <si>
    <t>Rachael Anthony</t>
  </si>
  <si>
    <t>Ruthmyrrh Gichana</t>
  </si>
  <si>
    <t>Fred Geofilla</t>
  </si>
  <si>
    <t>Shareen Ong'ondi</t>
  </si>
  <si>
    <t>Precious Kerubo</t>
  </si>
  <si>
    <t>Griffins Matara</t>
  </si>
  <si>
    <t>Jade Mochoni</t>
  </si>
  <si>
    <t>Rayden Tabson</t>
  </si>
  <si>
    <t>Grade 3</t>
  </si>
  <si>
    <t>Vanessa Ondeu</t>
  </si>
  <si>
    <t>Ramon Ongaro</t>
  </si>
  <si>
    <t>Branny Lee</t>
  </si>
  <si>
    <t>Jayden Nyakundi</t>
  </si>
  <si>
    <t>Reagan Kerongo</t>
  </si>
  <si>
    <t>Kylian Chweya</t>
  </si>
  <si>
    <t>Shanice Micah</t>
  </si>
  <si>
    <t>Grade 4</t>
  </si>
  <si>
    <t>Trevor Joseph</t>
  </si>
  <si>
    <t>Joyness Magoma</t>
  </si>
  <si>
    <t>Brandon Chweya</t>
  </si>
  <si>
    <t>Gloria Bahati</t>
  </si>
  <si>
    <t>Martha Onsongo</t>
  </si>
  <si>
    <t>Daniel Nyang'au</t>
  </si>
  <si>
    <t>Jayden Trevor</t>
  </si>
  <si>
    <t>Ezra Nyakundi</t>
  </si>
  <si>
    <t>Demetrian Angwenyi</t>
  </si>
  <si>
    <t>Grade 5</t>
  </si>
  <si>
    <t>Nelck Monari</t>
  </si>
  <si>
    <t>Blessing Dorice</t>
  </si>
  <si>
    <t>Tatiana Moraa</t>
  </si>
  <si>
    <t>Justine Mosoti</t>
  </si>
  <si>
    <t>Emmanuel Bosire</t>
  </si>
  <si>
    <t>Virginia Omwenga</t>
  </si>
  <si>
    <t>Grade 6</t>
  </si>
  <si>
    <t>Tania Omwenga</t>
  </si>
  <si>
    <t>Gift Ogaro</t>
  </si>
  <si>
    <t>Bravine Momanyi</t>
  </si>
  <si>
    <t>Lavenda Kwamboka</t>
  </si>
  <si>
    <t>Gianna Mongina</t>
  </si>
  <si>
    <t>Grade 7</t>
  </si>
  <si>
    <t>Ignatius Mirera</t>
  </si>
  <si>
    <t>Ivan Jason</t>
  </si>
  <si>
    <t>Ryan Job Makana</t>
  </si>
  <si>
    <t>Biden Omwenga</t>
  </si>
  <si>
    <t>Raphael Ototo</t>
  </si>
  <si>
    <t>Dianasus Moti</t>
  </si>
  <si>
    <t>Jayden Odipo</t>
  </si>
  <si>
    <t>Dylan Nyamwanda</t>
  </si>
  <si>
    <t>Grade 8</t>
  </si>
  <si>
    <t>Collins Amina</t>
  </si>
  <si>
    <t>Divan Dalton</t>
  </si>
  <si>
    <t>Joel Ontita</t>
  </si>
  <si>
    <t>Shelton Orito</t>
  </si>
  <si>
    <t>Liam Nyakundi</t>
  </si>
  <si>
    <t>Aeden Chweya</t>
  </si>
  <si>
    <t>Samuel Ongaki</t>
  </si>
  <si>
    <t>Randy Denzel</t>
  </si>
  <si>
    <t>Alfred Adrian</t>
  </si>
  <si>
    <t>Usher Belden</t>
  </si>
  <si>
    <t>Grade 9</t>
  </si>
  <si>
    <t>Franklin Ombura</t>
  </si>
  <si>
    <t>Angello Ateka</t>
  </si>
  <si>
    <t>Trizzah Gichana</t>
  </si>
  <si>
    <t>Blessings Ouko</t>
  </si>
  <si>
    <t>Emmaculate Nyakundi</t>
  </si>
  <si>
    <t>Amiella Omwando</t>
  </si>
  <si>
    <t>Christine Ongou</t>
  </si>
  <si>
    <t>Annette Duncan</t>
  </si>
  <si>
    <t>Brielle Gift</t>
  </si>
  <si>
    <t>Precious Aliambo</t>
  </si>
  <si>
    <t>Melodias Ondey</t>
  </si>
  <si>
    <t>Mary Ombura</t>
  </si>
  <si>
    <t>Lavenda Orito</t>
  </si>
  <si>
    <t>Skylar Munene</t>
  </si>
  <si>
    <t>Brevian Bosire</t>
  </si>
  <si>
    <t>Ubrey Mwebi</t>
  </si>
  <si>
    <t>Sheldon Onto</t>
  </si>
  <si>
    <t>Dylan Bichanga</t>
  </si>
  <si>
    <t>Shanila Evans</t>
  </si>
  <si>
    <t>Aska Agape</t>
  </si>
  <si>
    <t>Deborah Osoro</t>
  </si>
  <si>
    <t>Amor Moraa</t>
  </si>
  <si>
    <t>Kerstin Matara</t>
  </si>
  <si>
    <t>Audrey Ombora</t>
  </si>
  <si>
    <t>Elis Sagini</t>
  </si>
  <si>
    <t>Maryanne Valentine</t>
  </si>
  <si>
    <t>Austin Matara</t>
  </si>
  <si>
    <t>Dolphin Kerubo</t>
  </si>
  <si>
    <t>Milan Ombachi</t>
  </si>
  <si>
    <t>Innocent Starling</t>
  </si>
  <si>
    <t>Lemmy Douglas</t>
  </si>
  <si>
    <t>Clarius Philip</t>
  </si>
  <si>
    <t>Bivon Jeremy</t>
  </si>
  <si>
    <t>Catrina Evans</t>
  </si>
  <si>
    <t>Sanchez Prince</t>
  </si>
  <si>
    <t>Pendo Gloriah</t>
  </si>
  <si>
    <t>Trevor Ombicha</t>
  </si>
  <si>
    <t>Gabriella Nyaboke</t>
  </si>
  <si>
    <t>Kezziah Mwebi</t>
  </si>
  <si>
    <t>David Mwebi</t>
  </si>
  <si>
    <t>Remmy Precious</t>
  </si>
  <si>
    <t>Crohn Amwoma</t>
  </si>
  <si>
    <t>Rashford Amos</t>
  </si>
  <si>
    <t>Prince Bianci</t>
  </si>
  <si>
    <t>Magdalen Simiyu</t>
  </si>
  <si>
    <t>Travis Mwebi</t>
  </si>
  <si>
    <t>Robin Mokua</t>
  </si>
  <si>
    <t>Ryan Nyakundi</t>
  </si>
  <si>
    <t>Boaz Monari</t>
  </si>
  <si>
    <t>Letusha Nyaboke</t>
  </si>
  <si>
    <t>Jayden Mark Siro</t>
  </si>
  <si>
    <t>Adrian Mark Oriha</t>
  </si>
  <si>
    <t>Rebecca Glorius M.</t>
  </si>
  <si>
    <t>Natasha Shezin K.</t>
  </si>
  <si>
    <t>Justine Akuуu Oyaro</t>
  </si>
  <si>
    <t>Shantel Kwamboka</t>
  </si>
  <si>
    <t>Tony Akunga</t>
  </si>
  <si>
    <t>Lilian Ondeu</t>
  </si>
  <si>
    <t>Melhannah Nyaboke</t>
  </si>
  <si>
    <t>Lorna Osoro Nyabate</t>
  </si>
  <si>
    <t>Val Kwamboka</t>
  </si>
  <si>
    <t>Habesh Motari</t>
  </si>
  <si>
    <t>Jayden Gichana</t>
  </si>
  <si>
    <t>Ashlei Nathqueso</t>
  </si>
  <si>
    <t>Darrel Nyakundi</t>
  </si>
  <si>
    <t>Alvin Omariba</t>
  </si>
  <si>
    <t>Sophy Kwamboka</t>
  </si>
  <si>
    <t>Ruth Osoro</t>
  </si>
  <si>
    <t>Meylian Nyaboke</t>
  </si>
  <si>
    <t>Allan Oluoch</t>
  </si>
  <si>
    <t>Clinton Omwando</t>
  </si>
  <si>
    <t>Shem Nyandwaro</t>
  </si>
  <si>
    <t>Nezziah Kerubo</t>
  </si>
  <si>
    <t>Charity Oyaro</t>
  </si>
  <si>
    <t>Shannel Adhiambo</t>
  </si>
  <si>
    <t>Justine Muma</t>
  </si>
  <si>
    <t>Leah Mosinya</t>
  </si>
  <si>
    <t>Meghann Brainnah</t>
  </si>
  <si>
    <t>Carlfinley Makori</t>
  </si>
  <si>
    <t>Shirley Atieno</t>
  </si>
  <si>
    <t>Calvin Omwenga</t>
  </si>
  <si>
    <t>Prince Emmanuel</t>
  </si>
  <si>
    <t>Joan Omune</t>
  </si>
  <si>
    <t>Shantiriah Chweya</t>
  </si>
  <si>
    <t>Demetrious Mochoni</t>
  </si>
  <si>
    <t>Ian Ondeu</t>
  </si>
  <si>
    <t>Precious Moraa</t>
  </si>
  <si>
    <t>Sylviah Gechemba</t>
  </si>
  <si>
    <t>Blessings Mogire</t>
  </si>
  <si>
    <t>Elizabeth Muindi</t>
  </si>
  <si>
    <t>Elvis Makana</t>
  </si>
  <si>
    <t>Mary Mokua</t>
  </si>
  <si>
    <t>Purity Kemunto</t>
  </si>
  <si>
    <t>Annabel Nyakundi</t>
  </si>
  <si>
    <t>Belden Omwenga</t>
  </si>
  <si>
    <t>Thomas Onsongo</t>
  </si>
  <si>
    <t>Gaudencia Nyantika</t>
  </si>
  <si>
    <t>Agnes Chweya</t>
  </si>
  <si>
    <t>Brilliant Mosoti</t>
  </si>
  <si>
    <t>Precious Kwamboka</t>
  </si>
  <si>
    <t>Bradley Joseph</t>
  </si>
  <si>
    <t>Elvis Nyabera</t>
  </si>
  <si>
    <t>Vicklans Amani</t>
  </si>
  <si>
    <t>Jacob Griffins</t>
  </si>
  <si>
    <t>Florence Mong'ina</t>
  </si>
  <si>
    <t>Joyshalin Douglas</t>
  </si>
  <si>
    <t>Brighton Omosa</t>
  </si>
  <si>
    <t>Damian Mogere</t>
  </si>
  <si>
    <t>Brandon Mogire</t>
  </si>
  <si>
    <t>Shannah Ombachi</t>
  </si>
  <si>
    <t>Davin Kwamboka</t>
  </si>
  <si>
    <t>Roseline Achieng'i</t>
  </si>
  <si>
    <t>Bahati Mahadi</t>
  </si>
  <si>
    <t>Fabian Lewis</t>
  </si>
  <si>
    <t>Brighton Ken</t>
  </si>
  <si>
    <t>Claudy Osoro</t>
  </si>
  <si>
    <t>Andrew Mokaya</t>
  </si>
  <si>
    <t>Dioncious Onyancha</t>
  </si>
  <si>
    <t>Godfrey Ondeu</t>
  </si>
  <si>
    <t>Ibrahim Ocharo</t>
  </si>
  <si>
    <t>Christine Kwamboka</t>
  </si>
  <si>
    <t>Esther Mochoni</t>
  </si>
  <si>
    <t>Caspher Achuka</t>
  </si>
  <si>
    <t>Jones Ageya</t>
  </si>
  <si>
    <t>Brighton Orang'o</t>
  </si>
  <si>
    <t>John Stanly</t>
  </si>
  <si>
    <t>Mitchel Akuma</t>
  </si>
  <si>
    <t>Felix Oyaro</t>
  </si>
  <si>
    <t>Alvan Onchiri</t>
  </si>
  <si>
    <t>Debora Mochoni</t>
  </si>
  <si>
    <t>Shanny Claire</t>
  </si>
  <si>
    <t>Marion Akinyi</t>
  </si>
  <si>
    <t>Beverlyne Obeeto</t>
  </si>
  <si>
    <t>Samuel Wamalwa</t>
  </si>
  <si>
    <t>Precious Ondeu</t>
  </si>
  <si>
    <t>Mary Matara</t>
  </si>
  <si>
    <t>Sarah Monari</t>
  </si>
  <si>
    <t>Vallerian Maiko</t>
  </si>
  <si>
    <t>Prince Nigel</t>
  </si>
  <si>
    <t>Natallie Moraa</t>
  </si>
  <si>
    <t>Giftone Siro</t>
  </si>
  <si>
    <t>Emmanuel Machoka</t>
  </si>
  <si>
    <t>Angela Bosire</t>
  </si>
  <si>
    <t>Vincent Nyantika</t>
  </si>
  <si>
    <t>Samson Ong'era</t>
  </si>
  <si>
    <t>Peter Makori</t>
  </si>
  <si>
    <t>Bravin Omwando</t>
  </si>
  <si>
    <t>Naomy Nyaboke</t>
  </si>
  <si>
    <t>Ferdinand Ondeu</t>
  </si>
  <si>
    <t>Philip Chweya</t>
  </si>
  <si>
    <t>Euphenia Moraa</t>
  </si>
  <si>
    <t>Joyce Ongaki</t>
  </si>
  <si>
    <t>Precious Ouko</t>
  </si>
  <si>
    <t>Debora</t>
  </si>
  <si>
    <t>Johalam Mwendwa</t>
  </si>
  <si>
    <t>David Ombura</t>
  </si>
  <si>
    <t>Ann Moraa</t>
  </si>
  <si>
    <t>Shantel Nyaboke</t>
  </si>
  <si>
    <t>Lavender Adhiambo</t>
  </si>
  <si>
    <t>Sally Gesumwa</t>
  </si>
  <si>
    <t>Uwase Sumaya</t>
  </si>
  <si>
    <t>Barrack Mwebi</t>
  </si>
  <si>
    <t>Eunice Akinyi</t>
  </si>
  <si>
    <t>Patience Mochoni</t>
  </si>
  <si>
    <t>Daisy Nyaboke</t>
  </si>
  <si>
    <t>Jasma Moraa</t>
  </si>
  <si>
    <t>Jacinta Kemunto</t>
  </si>
  <si>
    <t>Valentine Mosoti</t>
  </si>
  <si>
    <t>Lucky Monari</t>
  </si>
  <si>
    <t>Shanice Orito</t>
  </si>
  <si>
    <t>Deborah Angwenyi</t>
  </si>
  <si>
    <t>Collins Makana</t>
  </si>
  <si>
    <t>Raphael Atuga</t>
  </si>
  <si>
    <t>Felix Manani</t>
  </si>
  <si>
    <t>Wisley Chweya</t>
  </si>
  <si>
    <t>Eugine Muma</t>
  </si>
  <si>
    <t>Pillydad Makori</t>
  </si>
  <si>
    <t>Elvis Ochieng</t>
  </si>
  <si>
    <t>Paulson Ombura</t>
  </si>
  <si>
    <t>Bridgiy Chweya Gesare</t>
  </si>
  <si>
    <t>Treddy Akuma</t>
  </si>
  <si>
    <t>Dalton Otuke</t>
  </si>
  <si>
    <t>Esther Ocharo</t>
  </si>
  <si>
    <t>Derick Mokaya</t>
  </si>
  <si>
    <t>Elvis Mayaka</t>
  </si>
  <si>
    <t>Arshley Young</t>
  </si>
  <si>
    <t>Bruno Bosire</t>
  </si>
  <si>
    <t>Beatrice Monari</t>
  </si>
  <si>
    <t>Wisley Orare</t>
  </si>
  <si>
    <t>Joy Juma</t>
  </si>
  <si>
    <t>Sabina Bosire</t>
  </si>
  <si>
    <t>Cynthia Aluoch</t>
  </si>
  <si>
    <t>Cyrus Mogire</t>
  </si>
  <si>
    <t>Alex Ageya</t>
  </si>
  <si>
    <t>Stanley Mwebi</t>
  </si>
  <si>
    <t>Fabian Nyakundi</t>
  </si>
  <si>
    <t>Charles Otunga</t>
  </si>
  <si>
    <t>Hellen Bwari</t>
  </si>
  <si>
    <t>Barack Ochwangi</t>
  </si>
  <si>
    <t>Gregory Matara</t>
  </si>
  <si>
    <t>Hegla Nyakarita</t>
  </si>
  <si>
    <t>Trecy Gesare</t>
  </si>
  <si>
    <t>Blessing Moraa</t>
  </si>
  <si>
    <t>Joan Kerubo</t>
  </si>
  <si>
    <t>Sharon Manase</t>
  </si>
  <si>
    <t>Hellen Kemunto</t>
  </si>
  <si>
    <t>Christine Lian</t>
  </si>
  <si>
    <t>Sabastiano Nyasimi</t>
  </si>
  <si>
    <t>Dorca Kerongo</t>
  </si>
  <si>
    <t>Rachael Nyanchama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</si>
</sst>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$#,##0.00"/>
    <numFmt numFmtId="166" formatCode="yyyy-mm-dd"/>
  </numFmts>
  <fonts count="8">
    <font>
      <sz val="10.0"/>
      <color rgb="FF000000"/>
      <name val="Arial"/>
      <scheme val="minor"/>
    </font>
    <font>
      <b/>
      <sz val="24.0"/>
      <color theme="1"/>
      <name val="Roboto"/>
    </font>
    <font>
      <b/>
      <sz val="14.0"/>
      <color theme="1"/>
      <name val="Roboto"/>
    </font>
    <font>
      <b/>
      <color theme="1"/>
      <name val="Arial"/>
      <scheme val="minor"/>
    </font>
    <font>
      <b/>
      <sz val="11.0"/>
      <color theme="1"/>
      <name val="Roboto"/>
    </font>
    <font>
      <b/>
      <sz val="10.0"/>
      <color rgb="FFFFFFFF"/>
      <name val="Roboto"/>
    </font>
    <font>
      <color theme="1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8"/>
        <bgColor rgb="FFD9E2F8"/>
      </patternFill>
    </fill>
    <fill>
      <patternFill patternType="solid">
        <fgColor rgb="FFECECF4"/>
        <bgColor rgb="FFECECF4"/>
      </patternFill>
    </fill>
    <fill>
      <patternFill patternType="solid">
        <fgColor rgb="FF3E5F90"/>
        <bgColor rgb="FF3E5F9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3" fontId="4" numFmtId="0" xfId="0" applyFill="1" applyFont="1"/>
    <xf borderId="0" fillId="3" fontId="4" numFmtId="0" xfId="0" applyAlignment="1" applyFont="1">
      <alignment horizontal="right"/>
    </xf>
    <xf borderId="0" fillId="4" fontId="5" numFmtId="0" xfId="0" applyAlignment="1" applyFill="1" applyFont="1">
      <alignment readingOrder="0"/>
    </xf>
    <xf borderId="0" fillId="2" fontId="3" numFmtId="164" xfId="0" applyFont="1" applyNumberFormat="1"/>
    <xf borderId="0" fillId="3" fontId="4" numFmtId="165" xfId="0" applyFont="1" applyNumberFormat="1"/>
    <xf borderId="0" fillId="2" fontId="6" numFmtId="0" xfId="0" applyFont="1"/>
    <xf borderId="0" fillId="0" fontId="6" numFmtId="0" xfId="0" applyAlignment="1" applyFont="1">
      <alignment readingOrder="0"/>
    </xf>
    <xf borderId="0" fillId="3" fontId="6" numFmtId="0" xfId="0" applyFont="1"/>
    <xf borderId="0" fillId="0" fontId="7" numFmtId="0" xfId="0" applyFont="1"/>
    <xf borderId="0" fillId="0" fontId="6" numFmtId="0" xfId="0" applyFont="1"/>
    <xf borderId="0" fillId="0" fontId="6" numFmtId="0" xfId="0" applyAlignment="1" applyFont="1">
      <alignment horizontal="left" readingOrder="0" shrinkToFit="0" vertical="center" wrapText="0"/>
    </xf>
    <xf borderId="0" fillId="0" fontId="6" numFmtId="49" xfId="0" applyAlignment="1" applyFont="1" applyNumberFormat="1">
      <alignment readingOrder="0"/>
    </xf>
    <xf borderId="0" fillId="4" fontId="5" numFmtId="0" xfId="0" applyFont="1"/>
    <xf borderId="0" fillId="0" fontId="6" numFmtId="166" xfId="0" applyFont="1" applyNumberFormat="1"/>
    <xf borderId="0" fillId="0" fontId="6" numFmtId="0" xfId="0" applyAlignment="1" applyFont="1">
      <alignment readingOrder="0" shrinkToFit="0" vertical="center" wrapText="0"/>
    </xf>
    <xf borderId="0" fillId="0" fontId="6" numFmtId="165" xfId="0" applyFont="1" applyNumberFormat="1"/>
    <xf borderId="0" fillId="0" fontId="6" numFmtId="0" xfId="0" applyAlignment="1" applyFont="1">
      <alignment shrinkToFit="0" vertical="center" wrapText="0"/>
    </xf>
    <xf borderId="0" fillId="0" fontId="6" numFmtId="164" xfId="0" applyFont="1" applyNumberFormat="1"/>
    <xf borderId="0" fillId="0" fontId="6" numFmtId="49" xfId="0" applyFont="1" applyNumberFormat="1"/>
    <xf borderId="0" fillId="0" fontId="6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/>
    </xf>
    <xf borderId="0" fillId="0" fontId="6" numFmtId="49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E5F90"/>
          <bgColor rgb="FF3E5F9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3" pivot="0" name="Inventory Tracker-style">
      <tableStyleElement dxfId="1" type="headerRow"/>
      <tableStyleElement dxfId="3" type="firstRowStripe"/>
      <tableStyleElement dxfId="4" type="secondRowStripe"/>
    </tableStyle>
    <tableStyle count="3" pivot="0" name="Data Entry-style">
      <tableStyleElement dxfId="1" type="headerRow"/>
      <tableStyleElement dxfId="3" type="firstRowStripe"/>
      <tableStyleElement dxfId="4" type="secondRowStripe"/>
    </tableStyle>
    <tableStyle count="3" pivot="0" name="Staff Directory-style">
      <tableStyleElement dxfId="1" type="headerRow"/>
      <tableStyleElement dxfId="3" type="firstRowStripe"/>
      <tableStyleElement dxfId="4" type="secondRowStripe"/>
    </tableStyle>
    <tableStyle count="4" pivot="0" name="Grade Summary-style">
      <tableStyleElement dxfId="2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G300" displayName="Table_1" name="Table_1" id="2">
  <tableColumns count="6">
    <tableColumn name="Adm No" id="1"/>
    <tableColumn name="Student Name" id="2"/>
    <tableColumn name="Grade" id="3"/>
    <tableColumn name="Fee Balance" id="4"/>
    <tableColumn name="Parent Name" id="5"/>
    <tableColumn name="Parent Phone No" id="6"/>
  </tableColumns>
  <tableStyleInfo name="Data Entry-style" showColumnStripes="0" showFirstColumn="1" showLastColumn="1" showRowStripes="1"/>
</table>
</file>

<file path=xl/tables/table2.xml><?xml version="1.0" encoding="utf-8"?>
<table xmlns="http://schemas.openxmlformats.org/spreadsheetml/2006/main" ref="B4:D16" displayName="GradeSummaryTable" name="GradeSummaryTable" id="4">
  <tableColumns count="3">
    <tableColumn name="Grade" id="1"/>
    <tableColumn name="Total Students" id="2"/>
    <tableColumn name="Total Fee Balance" id="3"/>
  </tableColumns>
  <tableStyleInfo name="Grade Summary-style" showColumnStripes="0" showFirstColumn="1" showLastColumn="1" showRowStripes="1"/>
</table>
</file>

<file path=xl/tables/table3.xml><?xml version="1.0" encoding="utf-8"?>
<table xmlns="http://schemas.openxmlformats.org/spreadsheetml/2006/main" ref="B5:K105" displayName="Table_2" name="Table_2" id="1">
  <tableColumns count="10">
    <tableColumn name="No." id="1"/>
    <tableColumn name="Staff ID" id="2"/>
    <tableColumn name="Full Name" id="3"/>
    <tableColumn name="Gender" id="4"/>
    <tableColumn name="Phone" id="5"/>
    <tableColumn name="Position" id="6"/>
    <tableColumn name="Subject/Department" id="7"/>
    <tableColumn name="Employment Type" id="8"/>
    <tableColumn name="Date Joined" id="9"/>
    <tableColumn name="Status" id="10"/>
  </tableColumns>
  <tableStyleInfo name="Staff Directory-style" showColumnStripes="0" showFirstColumn="1" showLastColumn="1" showRowStripes="1"/>
</table>
</file>

<file path=xl/tables/table4.xml><?xml version="1.0" encoding="utf-8"?>
<table xmlns="http://schemas.openxmlformats.org/spreadsheetml/2006/main" ref="B5:H205" displayName="Table_3" name="Table_3" id="3">
  <tableColumns count="7">
    <tableColumn name="Item ID" id="1"/>
    <tableColumn name="Item Name" id="2"/>
    <tableColumn name="Category" id="3"/>
    <tableColumn name="Quantity" id="4"/>
    <tableColumn name="Unit Price" id="5"/>
    <tableColumn name="Total Value" id="6"/>
    <tableColumn name="Condition" id="7"/>
  </tableColumns>
  <tableStyleInfo name="Inventory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54.88"/>
    <col customWidth="1" min="3" max="3" width="25.13"/>
    <col customWidth="1" min="4" max="5" width="15.13"/>
    <col customWidth="1" min="6" max="6" width="25.13"/>
    <col customWidth="1" min="7" max="7" width="18.88"/>
  </cols>
  <sheetData>
    <row r="2">
      <c r="B2" s="1" t="s">
        <v>0</v>
      </c>
    </row>
    <row r="3">
      <c r="B3" s="3" t="s">
        <v>4</v>
      </c>
      <c r="C3" s="3">
        <f>COUNTA(B6:B300)</f>
        <v>295</v>
      </c>
      <c r="D3" s="3" t="s">
        <v>8</v>
      </c>
      <c r="E3" s="7">
        <f>SUM(E6:E300)</f>
        <v>0</v>
      </c>
      <c r="F3" s="9"/>
      <c r="G3" s="9"/>
    </row>
    <row r="5">
      <c r="B5" s="12" t="s">
        <v>18</v>
      </c>
      <c r="C5" s="12" t="s">
        <v>22</v>
      </c>
      <c r="D5" s="12" t="s">
        <v>7</v>
      </c>
      <c r="E5" s="12" t="s">
        <v>23</v>
      </c>
      <c r="F5" s="12" t="s">
        <v>24</v>
      </c>
      <c r="G5" s="12" t="s">
        <v>25</v>
      </c>
    </row>
    <row r="6">
      <c r="B6" s="13">
        <f t="array" ref="B6:B300">IF(C6:C300&lt;&gt;"", ROW(C6:C300)+94, "")</f>
        <v>100</v>
      </c>
      <c r="C6" s="10" t="s">
        <v>50</v>
      </c>
      <c r="D6" s="10" t="s">
        <v>37</v>
      </c>
      <c r="E6" s="21"/>
      <c r="F6" s="13"/>
      <c r="G6" s="22"/>
    </row>
    <row r="7">
      <c r="B7" s="13">
        <v>101.0</v>
      </c>
      <c r="C7" s="10" t="s">
        <v>56</v>
      </c>
      <c r="D7" s="10" t="s">
        <v>37</v>
      </c>
      <c r="E7" s="21"/>
      <c r="F7" s="13"/>
      <c r="G7" s="22"/>
    </row>
    <row r="8">
      <c r="B8" s="13">
        <v>102.0</v>
      </c>
      <c r="C8" s="10" t="s">
        <v>58</v>
      </c>
      <c r="D8" s="10" t="s">
        <v>37</v>
      </c>
      <c r="E8" s="21"/>
      <c r="F8" s="13"/>
      <c r="G8" s="22"/>
    </row>
    <row r="9">
      <c r="B9" s="13">
        <v>103.0</v>
      </c>
      <c r="C9" s="10" t="s">
        <v>61</v>
      </c>
      <c r="D9" s="10" t="s">
        <v>37</v>
      </c>
      <c r="E9" s="21"/>
      <c r="F9" s="13"/>
      <c r="G9" s="22"/>
    </row>
    <row r="10">
      <c r="B10" s="13">
        <v>104.0</v>
      </c>
      <c r="C10" s="10" t="s">
        <v>62</v>
      </c>
      <c r="D10" s="10" t="s">
        <v>37</v>
      </c>
      <c r="E10" s="21"/>
      <c r="F10" s="13"/>
      <c r="G10" s="22"/>
    </row>
    <row r="11">
      <c r="B11" s="13">
        <v>105.0</v>
      </c>
      <c r="C11" s="10" t="s">
        <v>64</v>
      </c>
      <c r="D11" s="10" t="s">
        <v>37</v>
      </c>
      <c r="E11" s="21"/>
      <c r="F11" s="13"/>
      <c r="G11" s="22"/>
    </row>
    <row r="12">
      <c r="B12" s="13">
        <v>106.0</v>
      </c>
      <c r="C12" s="10" t="s">
        <v>66</v>
      </c>
      <c r="D12" s="10" t="s">
        <v>37</v>
      </c>
      <c r="E12" s="21"/>
      <c r="F12" s="13"/>
      <c r="G12" s="22"/>
    </row>
    <row r="13">
      <c r="B13" s="13">
        <v>107.0</v>
      </c>
      <c r="C13" s="10" t="s">
        <v>73</v>
      </c>
      <c r="D13" s="10" t="s">
        <v>37</v>
      </c>
      <c r="E13" s="21"/>
      <c r="F13" s="13"/>
      <c r="G13" s="22"/>
    </row>
    <row r="14">
      <c r="B14" s="13">
        <v>108.0</v>
      </c>
      <c r="C14" s="10" t="s">
        <v>74</v>
      </c>
      <c r="D14" s="10" t="s">
        <v>37</v>
      </c>
      <c r="E14" s="21"/>
      <c r="F14" s="13"/>
      <c r="G14" s="22"/>
    </row>
    <row r="15">
      <c r="B15" s="13">
        <v>109.0</v>
      </c>
      <c r="C15" s="10" t="s">
        <v>76</v>
      </c>
      <c r="D15" s="10" t="s">
        <v>37</v>
      </c>
      <c r="E15" s="21"/>
      <c r="F15" s="13"/>
      <c r="G15" s="22"/>
    </row>
    <row r="16">
      <c r="B16" s="13">
        <v>110.0</v>
      </c>
      <c r="C16" s="10" t="s">
        <v>77</v>
      </c>
      <c r="D16" s="10" t="s">
        <v>37</v>
      </c>
      <c r="E16" s="21"/>
      <c r="F16" s="13"/>
      <c r="G16" s="22"/>
    </row>
    <row r="17">
      <c r="B17" s="13">
        <v>111.0</v>
      </c>
      <c r="C17" s="10" t="s">
        <v>78</v>
      </c>
      <c r="D17" s="10" t="s">
        <v>37</v>
      </c>
      <c r="E17" s="21"/>
      <c r="F17" s="13"/>
      <c r="G17" s="22"/>
    </row>
    <row r="18">
      <c r="B18" s="13">
        <v>112.0</v>
      </c>
      <c r="C18" s="10" t="s">
        <v>79</v>
      </c>
      <c r="D18" s="10" t="s">
        <v>37</v>
      </c>
      <c r="E18" s="21"/>
      <c r="F18" s="13"/>
      <c r="G18" s="22"/>
    </row>
    <row r="19">
      <c r="B19" s="13">
        <v>113.0</v>
      </c>
      <c r="C19" s="10" t="s">
        <v>81</v>
      </c>
      <c r="D19" s="10" t="s">
        <v>37</v>
      </c>
      <c r="E19" s="21"/>
      <c r="F19" s="13"/>
      <c r="G19" s="22"/>
    </row>
    <row r="20">
      <c r="B20" s="13">
        <v>114.0</v>
      </c>
      <c r="C20" s="10" t="s">
        <v>84</v>
      </c>
      <c r="D20" s="10" t="s">
        <v>37</v>
      </c>
      <c r="E20" s="21"/>
      <c r="F20" s="13"/>
      <c r="G20" s="22"/>
    </row>
    <row r="21">
      <c r="B21" s="13">
        <v>115.0</v>
      </c>
      <c r="C21" s="10" t="s">
        <v>85</v>
      </c>
      <c r="D21" s="10" t="s">
        <v>37</v>
      </c>
      <c r="E21" s="21"/>
      <c r="F21" s="13"/>
      <c r="G21" s="22"/>
    </row>
    <row r="22">
      <c r="B22" s="13">
        <v>116.0</v>
      </c>
      <c r="C22" s="10" t="s">
        <v>88</v>
      </c>
      <c r="D22" s="10" t="s">
        <v>37</v>
      </c>
      <c r="E22" s="21"/>
      <c r="F22" s="13"/>
      <c r="G22" s="22"/>
    </row>
    <row r="23">
      <c r="B23" s="13">
        <v>117.0</v>
      </c>
      <c r="C23" s="10" t="s">
        <v>89</v>
      </c>
      <c r="D23" s="10" t="s">
        <v>37</v>
      </c>
      <c r="E23" s="21"/>
      <c r="F23" s="13"/>
      <c r="G23" s="22"/>
    </row>
    <row r="24">
      <c r="B24" s="13">
        <v>118.0</v>
      </c>
      <c r="C24" s="10" t="s">
        <v>90</v>
      </c>
      <c r="D24" s="10" t="s">
        <v>37</v>
      </c>
      <c r="E24" s="21"/>
      <c r="F24" s="13"/>
      <c r="G24" s="22"/>
    </row>
    <row r="25">
      <c r="B25" s="13">
        <v>119.0</v>
      </c>
      <c r="C25" s="10" t="s">
        <v>92</v>
      </c>
      <c r="D25" s="10" t="s">
        <v>37</v>
      </c>
      <c r="E25" s="21"/>
      <c r="F25" s="13"/>
      <c r="G25" s="22"/>
    </row>
    <row r="26">
      <c r="B26" s="13">
        <v>120.0</v>
      </c>
      <c r="C26" s="10" t="s">
        <v>94</v>
      </c>
      <c r="D26" s="10" t="s">
        <v>37</v>
      </c>
      <c r="E26" s="21"/>
      <c r="F26" s="13"/>
      <c r="G26" s="22"/>
    </row>
    <row r="27">
      <c r="B27" s="13">
        <v>121.0</v>
      </c>
      <c r="C27" s="10" t="s">
        <v>96</v>
      </c>
      <c r="D27" s="10" t="s">
        <v>37</v>
      </c>
      <c r="E27" s="21"/>
      <c r="F27" s="13"/>
      <c r="G27" s="22"/>
    </row>
    <row r="28">
      <c r="B28" s="13">
        <v>122.0</v>
      </c>
      <c r="C28" s="10" t="s">
        <v>98</v>
      </c>
      <c r="D28" s="10" t="s">
        <v>37</v>
      </c>
      <c r="E28" s="21"/>
      <c r="F28" s="13"/>
      <c r="G28" s="22"/>
    </row>
    <row r="29">
      <c r="B29" s="13">
        <v>123.0</v>
      </c>
      <c r="C29" s="10" t="s">
        <v>101</v>
      </c>
      <c r="D29" s="10" t="s">
        <v>37</v>
      </c>
      <c r="E29" s="21"/>
      <c r="F29" s="13"/>
      <c r="G29" s="22"/>
    </row>
    <row r="30">
      <c r="B30" s="13">
        <v>124.0</v>
      </c>
      <c r="C30" s="10" t="s">
        <v>103</v>
      </c>
      <c r="D30" s="10" t="s">
        <v>37</v>
      </c>
      <c r="E30" s="21"/>
      <c r="F30" s="13"/>
      <c r="G30" s="22"/>
    </row>
    <row r="31">
      <c r="B31" s="13">
        <v>125.0</v>
      </c>
      <c r="C31" s="10" t="s">
        <v>104</v>
      </c>
      <c r="D31" s="10" t="s">
        <v>37</v>
      </c>
      <c r="E31" s="21"/>
      <c r="F31" s="13"/>
      <c r="G31" s="22"/>
    </row>
    <row r="32">
      <c r="B32" s="13">
        <v>126.0</v>
      </c>
      <c r="C32" s="10" t="s">
        <v>105</v>
      </c>
      <c r="D32" s="10" t="s">
        <v>37</v>
      </c>
      <c r="E32" s="21"/>
      <c r="F32" s="13"/>
      <c r="G32" s="22"/>
    </row>
    <row r="33">
      <c r="B33" s="13">
        <v>127.0</v>
      </c>
      <c r="C33" s="24" t="s">
        <v>107</v>
      </c>
      <c r="D33" s="10" t="s">
        <v>67</v>
      </c>
      <c r="E33" s="21"/>
      <c r="F33" s="13"/>
      <c r="G33" s="22"/>
    </row>
    <row r="34">
      <c r="B34" s="13">
        <v>128.0</v>
      </c>
      <c r="C34" s="10" t="s">
        <v>108</v>
      </c>
      <c r="D34" s="10" t="s">
        <v>67</v>
      </c>
      <c r="E34" s="21"/>
      <c r="F34" s="13"/>
      <c r="G34" s="22"/>
    </row>
    <row r="35">
      <c r="B35" s="13">
        <v>129.0</v>
      </c>
      <c r="C35" s="10" t="s">
        <v>109</v>
      </c>
      <c r="D35" s="10" t="s">
        <v>67</v>
      </c>
      <c r="E35" s="21"/>
      <c r="F35" s="13"/>
      <c r="G35" s="22"/>
    </row>
    <row r="36">
      <c r="B36" s="13">
        <v>130.0</v>
      </c>
      <c r="C36" s="10" t="s">
        <v>110</v>
      </c>
      <c r="D36" s="10" t="s">
        <v>67</v>
      </c>
      <c r="E36" s="21"/>
      <c r="F36" s="13"/>
      <c r="G36" s="22"/>
    </row>
    <row r="37">
      <c r="B37" s="13">
        <v>131.0</v>
      </c>
      <c r="C37" s="10" t="s">
        <v>112</v>
      </c>
      <c r="D37" s="10" t="s">
        <v>67</v>
      </c>
      <c r="E37" s="21"/>
      <c r="F37" s="13"/>
      <c r="G37" s="22"/>
    </row>
    <row r="38">
      <c r="B38" s="13">
        <v>132.0</v>
      </c>
      <c r="C38" s="10" t="s">
        <v>113</v>
      </c>
      <c r="D38" s="10" t="s">
        <v>67</v>
      </c>
      <c r="E38" s="21"/>
      <c r="F38" s="13"/>
      <c r="G38" s="22"/>
    </row>
    <row r="39">
      <c r="B39" s="13">
        <v>133.0</v>
      </c>
      <c r="C39" s="10" t="s">
        <v>114</v>
      </c>
      <c r="D39" s="10" t="s">
        <v>67</v>
      </c>
      <c r="E39" s="21"/>
      <c r="F39" s="13"/>
      <c r="G39" s="22"/>
    </row>
    <row r="40">
      <c r="B40" s="13">
        <v>134.0</v>
      </c>
      <c r="C40" s="10" t="s">
        <v>115</v>
      </c>
      <c r="D40" s="10" t="s">
        <v>67</v>
      </c>
      <c r="E40" s="21"/>
      <c r="F40" s="13"/>
      <c r="G40" s="22"/>
    </row>
    <row r="41">
      <c r="B41" s="13">
        <v>135.0</v>
      </c>
      <c r="C41" s="10" t="s">
        <v>116</v>
      </c>
      <c r="D41" s="10" t="s">
        <v>67</v>
      </c>
      <c r="E41" s="21"/>
      <c r="F41" s="13"/>
      <c r="G41" s="22"/>
    </row>
    <row r="42">
      <c r="B42" s="13">
        <v>136.0</v>
      </c>
      <c r="C42" s="10" t="s">
        <v>117</v>
      </c>
      <c r="D42" s="10" t="s">
        <v>67</v>
      </c>
      <c r="E42" s="21"/>
      <c r="F42" s="13"/>
      <c r="G42" s="22"/>
    </row>
    <row r="43">
      <c r="B43" s="13">
        <v>137.0</v>
      </c>
      <c r="C43" s="10" t="s">
        <v>118</v>
      </c>
      <c r="D43" s="10" t="s">
        <v>67</v>
      </c>
      <c r="E43" s="21"/>
      <c r="F43" s="13"/>
      <c r="G43" s="22"/>
    </row>
    <row r="44">
      <c r="B44" s="13">
        <v>138.0</v>
      </c>
      <c r="C44" s="10" t="s">
        <v>119</v>
      </c>
      <c r="D44" s="10" t="s">
        <v>67</v>
      </c>
      <c r="E44" s="21"/>
      <c r="F44" s="13"/>
      <c r="G44" s="22"/>
    </row>
    <row r="45">
      <c r="B45" s="13">
        <v>139.0</v>
      </c>
      <c r="C45" s="10" t="s">
        <v>120</v>
      </c>
      <c r="D45" s="10" t="s">
        <v>67</v>
      </c>
      <c r="E45" s="21"/>
      <c r="F45" s="13"/>
      <c r="G45" s="22"/>
    </row>
    <row r="46">
      <c r="B46" s="13">
        <v>140.0</v>
      </c>
      <c r="C46" s="10" t="s">
        <v>122</v>
      </c>
      <c r="D46" s="10" t="s">
        <v>67</v>
      </c>
      <c r="E46" s="21"/>
      <c r="F46" s="13"/>
      <c r="G46" s="22"/>
    </row>
    <row r="47">
      <c r="B47" s="13">
        <v>141.0</v>
      </c>
      <c r="C47" s="10" t="s">
        <v>123</v>
      </c>
      <c r="D47" s="10" t="s">
        <v>67</v>
      </c>
      <c r="E47" s="21"/>
      <c r="F47" s="13"/>
      <c r="G47" s="22"/>
    </row>
    <row r="48">
      <c r="B48" s="13">
        <v>142.0</v>
      </c>
      <c r="C48" s="10" t="s">
        <v>124</v>
      </c>
      <c r="D48" s="10" t="s">
        <v>67</v>
      </c>
      <c r="E48" s="21"/>
      <c r="F48" s="13"/>
      <c r="G48" s="22"/>
    </row>
    <row r="49">
      <c r="B49" s="13">
        <v>143.0</v>
      </c>
      <c r="C49" s="10" t="s">
        <v>125</v>
      </c>
      <c r="D49" s="10" t="s">
        <v>67</v>
      </c>
      <c r="E49" s="21"/>
      <c r="F49" s="13"/>
      <c r="G49" s="22"/>
    </row>
    <row r="50">
      <c r="B50" s="13">
        <v>144.0</v>
      </c>
      <c r="C50" s="10" t="s">
        <v>126</v>
      </c>
      <c r="D50" s="10" t="s">
        <v>67</v>
      </c>
      <c r="E50" s="21"/>
      <c r="F50" s="13"/>
      <c r="G50" s="22"/>
    </row>
    <row r="51">
      <c r="B51" s="13">
        <v>145.0</v>
      </c>
      <c r="C51" s="10" t="s">
        <v>127</v>
      </c>
      <c r="D51" s="10" t="s">
        <v>67</v>
      </c>
      <c r="E51" s="21"/>
      <c r="F51" s="13"/>
      <c r="G51" s="22"/>
    </row>
    <row r="52">
      <c r="B52" s="13">
        <v>146.0</v>
      </c>
      <c r="C52" s="10" t="s">
        <v>128</v>
      </c>
      <c r="D52" s="10" t="s">
        <v>67</v>
      </c>
      <c r="E52" s="21"/>
      <c r="F52" s="13"/>
      <c r="G52" s="22"/>
    </row>
    <row r="53">
      <c r="B53" s="13">
        <v>147.0</v>
      </c>
      <c r="C53" s="10" t="s">
        <v>130</v>
      </c>
      <c r="D53" s="10" t="s">
        <v>67</v>
      </c>
      <c r="E53" s="21"/>
      <c r="F53" s="13"/>
      <c r="G53" s="22"/>
    </row>
    <row r="54">
      <c r="B54" s="13">
        <v>148.0</v>
      </c>
      <c r="C54" s="10" t="s">
        <v>131</v>
      </c>
      <c r="D54" s="10" t="s">
        <v>67</v>
      </c>
      <c r="E54" s="21"/>
      <c r="F54" s="13"/>
      <c r="G54" s="22"/>
    </row>
    <row r="55">
      <c r="B55" s="13">
        <v>149.0</v>
      </c>
      <c r="C55" s="10" t="s">
        <v>132</v>
      </c>
      <c r="D55" s="10" t="s">
        <v>67</v>
      </c>
      <c r="E55" s="21"/>
      <c r="F55" s="13"/>
      <c r="G55" s="22"/>
    </row>
    <row r="56">
      <c r="B56" s="13">
        <v>150.0</v>
      </c>
      <c r="C56" s="10" t="s">
        <v>133</v>
      </c>
      <c r="D56" s="10" t="s">
        <v>67</v>
      </c>
      <c r="E56" s="21"/>
      <c r="F56" s="13"/>
      <c r="G56" s="22"/>
    </row>
    <row r="57">
      <c r="B57" s="13">
        <v>151.0</v>
      </c>
      <c r="C57" s="10" t="s">
        <v>134</v>
      </c>
      <c r="D57" s="10" t="s">
        <v>67</v>
      </c>
      <c r="E57" s="21"/>
      <c r="F57" s="13"/>
      <c r="G57" s="22"/>
    </row>
    <row r="58">
      <c r="B58" s="13">
        <v>152.0</v>
      </c>
      <c r="C58" s="10" t="s">
        <v>135</v>
      </c>
      <c r="D58" s="10" t="s">
        <v>67</v>
      </c>
      <c r="E58" s="21"/>
      <c r="F58" s="13"/>
      <c r="G58" s="22"/>
    </row>
    <row r="59">
      <c r="B59" s="13">
        <v>153.0</v>
      </c>
      <c r="C59" s="10" t="s">
        <v>136</v>
      </c>
      <c r="D59" s="10" t="s">
        <v>67</v>
      </c>
      <c r="E59" s="21"/>
      <c r="F59" s="13"/>
      <c r="G59" s="22"/>
    </row>
    <row r="60">
      <c r="B60" s="13">
        <v>154.0</v>
      </c>
      <c r="C60" s="10" t="s">
        <v>137</v>
      </c>
      <c r="D60" s="10" t="s">
        <v>67</v>
      </c>
      <c r="E60" s="21"/>
      <c r="F60" s="13"/>
      <c r="G60" s="22"/>
    </row>
    <row r="61">
      <c r="B61" s="13">
        <v>155.0</v>
      </c>
      <c r="C61" s="10" t="s">
        <v>138</v>
      </c>
      <c r="D61" s="10" t="s">
        <v>67</v>
      </c>
      <c r="E61" s="21"/>
      <c r="F61" s="13"/>
      <c r="G61" s="22"/>
    </row>
    <row r="62">
      <c r="B62" s="13">
        <v>156.0</v>
      </c>
      <c r="C62" s="10" t="s">
        <v>140</v>
      </c>
      <c r="D62" s="10" t="s">
        <v>67</v>
      </c>
      <c r="E62" s="21"/>
      <c r="F62" s="13"/>
      <c r="G62" s="22"/>
    </row>
    <row r="63">
      <c r="B63" s="13">
        <v>157.0</v>
      </c>
      <c r="C63" s="10" t="s">
        <v>141</v>
      </c>
      <c r="D63" s="10" t="s">
        <v>67</v>
      </c>
      <c r="E63" s="21"/>
      <c r="F63" s="13"/>
      <c r="G63" s="22"/>
    </row>
    <row r="64">
      <c r="B64" s="13">
        <v>158.0</v>
      </c>
      <c r="C64" s="10" t="s">
        <v>142</v>
      </c>
      <c r="D64" s="10" t="s">
        <v>67</v>
      </c>
      <c r="E64" s="21"/>
      <c r="F64" s="13"/>
      <c r="G64" s="22"/>
    </row>
    <row r="65">
      <c r="B65" s="13">
        <v>159.0</v>
      </c>
      <c r="C65" s="10" t="s">
        <v>143</v>
      </c>
      <c r="D65" s="10" t="s">
        <v>67</v>
      </c>
      <c r="E65" s="21"/>
      <c r="F65" s="13"/>
      <c r="G65" s="22"/>
    </row>
    <row r="66">
      <c r="B66" s="13">
        <v>160.0</v>
      </c>
      <c r="C66" s="10" t="s">
        <v>144</v>
      </c>
      <c r="D66" s="10" t="s">
        <v>67</v>
      </c>
      <c r="E66" s="21"/>
      <c r="F66" s="13"/>
      <c r="G66" s="22"/>
    </row>
    <row r="67">
      <c r="B67" s="13">
        <v>161.0</v>
      </c>
      <c r="C67" s="10" t="s">
        <v>145</v>
      </c>
      <c r="D67" s="10" t="s">
        <v>67</v>
      </c>
      <c r="E67" s="21"/>
      <c r="F67" s="13"/>
      <c r="G67" s="22"/>
    </row>
    <row r="68">
      <c r="B68" s="13">
        <v>162.0</v>
      </c>
      <c r="C68" s="10" t="s">
        <v>147</v>
      </c>
      <c r="D68" s="10" t="s">
        <v>67</v>
      </c>
      <c r="E68" s="21"/>
      <c r="F68" s="13"/>
      <c r="G68" s="22"/>
    </row>
    <row r="69">
      <c r="B69" s="13">
        <v>163.0</v>
      </c>
      <c r="C69" s="10" t="s">
        <v>148</v>
      </c>
      <c r="D69" s="10" t="s">
        <v>67</v>
      </c>
      <c r="E69" s="21"/>
      <c r="F69" s="13"/>
      <c r="G69" s="22"/>
    </row>
    <row r="70">
      <c r="B70" s="13">
        <v>164.0</v>
      </c>
      <c r="C70" s="10" t="s">
        <v>149</v>
      </c>
      <c r="D70" s="10" t="s">
        <v>67</v>
      </c>
      <c r="E70" s="21"/>
      <c r="F70" s="13"/>
      <c r="G70" s="22"/>
    </row>
    <row r="71">
      <c r="B71" s="13">
        <v>165.0</v>
      </c>
      <c r="C71" s="10" t="s">
        <v>150</v>
      </c>
      <c r="D71" s="10" t="s">
        <v>67</v>
      </c>
      <c r="E71" s="21"/>
      <c r="F71" s="13"/>
      <c r="G71" s="22"/>
    </row>
    <row r="72">
      <c r="B72" s="13">
        <v>166.0</v>
      </c>
      <c r="C72" s="10" t="s">
        <v>151</v>
      </c>
      <c r="D72" s="10" t="s">
        <v>67</v>
      </c>
      <c r="E72" s="21"/>
      <c r="F72" s="13"/>
      <c r="G72" s="22"/>
    </row>
    <row r="73">
      <c r="B73" s="13">
        <v>167.0</v>
      </c>
      <c r="C73" s="10" t="s">
        <v>153</v>
      </c>
      <c r="D73" s="10" t="s">
        <v>80</v>
      </c>
      <c r="E73" s="21"/>
      <c r="F73" s="13"/>
      <c r="G73" s="22"/>
    </row>
    <row r="74">
      <c r="B74" s="13">
        <v>168.0</v>
      </c>
      <c r="C74" s="10" t="s">
        <v>154</v>
      </c>
      <c r="D74" s="10" t="s">
        <v>80</v>
      </c>
      <c r="E74" s="21"/>
      <c r="F74" s="13"/>
      <c r="G74" s="22"/>
    </row>
    <row r="75">
      <c r="B75" s="13">
        <v>169.0</v>
      </c>
      <c r="C75" s="10" t="s">
        <v>155</v>
      </c>
      <c r="D75" s="10" t="s">
        <v>80</v>
      </c>
      <c r="E75" s="21"/>
      <c r="F75" s="13"/>
      <c r="G75" s="22"/>
    </row>
    <row r="76">
      <c r="B76" s="13">
        <v>170.0</v>
      </c>
      <c r="C76" s="10" t="s">
        <v>156</v>
      </c>
      <c r="D76" s="10" t="s">
        <v>80</v>
      </c>
      <c r="E76" s="21"/>
      <c r="F76" s="13"/>
      <c r="G76" s="22"/>
    </row>
    <row r="77">
      <c r="B77" s="13">
        <v>171.0</v>
      </c>
      <c r="C77" s="10" t="s">
        <v>157</v>
      </c>
      <c r="D77" s="10" t="s">
        <v>80</v>
      </c>
      <c r="E77" s="21"/>
      <c r="F77" s="13"/>
      <c r="G77" s="22"/>
    </row>
    <row r="78">
      <c r="B78" s="13">
        <v>172.0</v>
      </c>
      <c r="C78" s="10" t="s">
        <v>158</v>
      </c>
      <c r="D78" s="10" t="s">
        <v>80</v>
      </c>
      <c r="E78" s="21"/>
      <c r="F78" s="13"/>
      <c r="G78" s="22"/>
    </row>
    <row r="79">
      <c r="B79" s="13">
        <v>173.0</v>
      </c>
      <c r="C79" s="10" t="s">
        <v>159</v>
      </c>
      <c r="D79" s="10" t="s">
        <v>80</v>
      </c>
      <c r="E79" s="21"/>
      <c r="F79" s="13"/>
      <c r="G79" s="22"/>
    </row>
    <row r="80">
      <c r="B80" s="13">
        <v>174.0</v>
      </c>
      <c r="C80" s="10" t="s">
        <v>160</v>
      </c>
      <c r="D80" s="10" t="s">
        <v>80</v>
      </c>
      <c r="E80" s="21"/>
      <c r="F80" s="13"/>
      <c r="G80" s="22"/>
    </row>
    <row r="81">
      <c r="B81" s="13">
        <v>175.0</v>
      </c>
      <c r="C81" s="10" t="s">
        <v>162</v>
      </c>
      <c r="D81" s="10" t="s">
        <v>80</v>
      </c>
      <c r="E81" s="21"/>
      <c r="F81" s="13"/>
      <c r="G81" s="22"/>
    </row>
    <row r="82">
      <c r="B82" s="13">
        <v>176.0</v>
      </c>
      <c r="C82" s="10" t="s">
        <v>163</v>
      </c>
      <c r="D82" s="10" t="s">
        <v>80</v>
      </c>
      <c r="E82" s="21"/>
      <c r="F82" s="13"/>
      <c r="G82" s="22"/>
    </row>
    <row r="83">
      <c r="B83" s="13">
        <v>177.0</v>
      </c>
      <c r="C83" s="10" t="s">
        <v>164</v>
      </c>
      <c r="D83" s="10" t="s">
        <v>80</v>
      </c>
      <c r="E83" s="21"/>
      <c r="F83" s="13"/>
      <c r="G83" s="22"/>
    </row>
    <row r="84">
      <c r="B84" s="13">
        <v>178.0</v>
      </c>
      <c r="C84" s="10" t="s">
        <v>165</v>
      </c>
      <c r="D84" s="10" t="s">
        <v>80</v>
      </c>
      <c r="E84" s="21"/>
      <c r="F84" s="13"/>
      <c r="G84" s="22"/>
    </row>
    <row r="85">
      <c r="B85" s="13">
        <v>179.0</v>
      </c>
      <c r="C85" s="10" t="s">
        <v>166</v>
      </c>
      <c r="D85" s="10" t="s">
        <v>80</v>
      </c>
      <c r="E85" s="21"/>
      <c r="F85" s="13"/>
      <c r="G85" s="22"/>
    </row>
    <row r="86">
      <c r="B86" s="13">
        <v>180.0</v>
      </c>
      <c r="C86" s="10" t="s">
        <v>167</v>
      </c>
      <c r="D86" s="10" t="s">
        <v>80</v>
      </c>
      <c r="E86" s="21"/>
      <c r="F86" s="13"/>
      <c r="G86" s="22"/>
    </row>
    <row r="87">
      <c r="B87" s="13">
        <v>181.0</v>
      </c>
      <c r="C87" s="10" t="s">
        <v>168</v>
      </c>
      <c r="D87" s="10" t="s">
        <v>80</v>
      </c>
      <c r="E87" s="21"/>
      <c r="F87" s="13"/>
      <c r="G87" s="22"/>
    </row>
    <row r="88">
      <c r="B88" s="13">
        <v>182.0</v>
      </c>
      <c r="C88" s="10" t="s">
        <v>169</v>
      </c>
      <c r="D88" s="10" t="s">
        <v>80</v>
      </c>
      <c r="E88" s="21"/>
      <c r="F88" s="13"/>
      <c r="G88" s="22"/>
    </row>
    <row r="89">
      <c r="B89" s="13">
        <v>183.0</v>
      </c>
      <c r="C89" s="10" t="s">
        <v>170</v>
      </c>
      <c r="D89" s="10" t="s">
        <v>80</v>
      </c>
      <c r="E89" s="21"/>
      <c r="F89" s="13"/>
      <c r="G89" s="22"/>
    </row>
    <row r="90">
      <c r="B90" s="13">
        <v>184.0</v>
      </c>
      <c r="C90" s="10" t="s">
        <v>171</v>
      </c>
      <c r="D90" s="10" t="s">
        <v>80</v>
      </c>
      <c r="E90" s="21"/>
      <c r="F90" s="13"/>
      <c r="G90" s="22"/>
    </row>
    <row r="91">
      <c r="B91" s="13">
        <v>185.0</v>
      </c>
      <c r="C91" s="10" t="s">
        <v>173</v>
      </c>
      <c r="D91" s="10" t="s">
        <v>80</v>
      </c>
      <c r="E91" s="21"/>
      <c r="F91" s="13"/>
      <c r="G91" s="22"/>
    </row>
    <row r="92">
      <c r="B92" s="13">
        <v>186.0</v>
      </c>
      <c r="C92" s="10" t="s">
        <v>174</v>
      </c>
      <c r="D92" s="10" t="s">
        <v>80</v>
      </c>
      <c r="E92" s="21"/>
      <c r="F92" s="13"/>
      <c r="G92" s="22"/>
    </row>
    <row r="93">
      <c r="B93" s="13">
        <v>187.0</v>
      </c>
      <c r="C93" s="10" t="s">
        <v>175</v>
      </c>
      <c r="D93" s="10" t="s">
        <v>80</v>
      </c>
      <c r="E93" s="21"/>
      <c r="F93" s="13"/>
      <c r="G93" s="22"/>
    </row>
    <row r="94">
      <c r="B94" s="13">
        <v>188.0</v>
      </c>
      <c r="C94" s="10" t="s">
        <v>176</v>
      </c>
      <c r="D94" s="10" t="s">
        <v>80</v>
      </c>
      <c r="E94" s="21"/>
      <c r="F94" s="13"/>
      <c r="G94" s="22"/>
    </row>
    <row r="95">
      <c r="B95" s="13">
        <v>189.0</v>
      </c>
      <c r="C95" s="10" t="s">
        <v>177</v>
      </c>
      <c r="D95" s="10" t="s">
        <v>80</v>
      </c>
      <c r="E95" s="21"/>
      <c r="F95" s="13"/>
      <c r="G95" s="22"/>
    </row>
    <row r="96">
      <c r="B96" s="13">
        <v>190.0</v>
      </c>
      <c r="C96" s="10" t="s">
        <v>178</v>
      </c>
      <c r="D96" s="10" t="s">
        <v>80</v>
      </c>
      <c r="E96" s="21"/>
      <c r="F96" s="13"/>
      <c r="G96" s="22"/>
    </row>
    <row r="97">
      <c r="B97" s="13">
        <v>191.0</v>
      </c>
      <c r="C97" s="10" t="s">
        <v>179</v>
      </c>
      <c r="D97" s="10" t="s">
        <v>80</v>
      </c>
      <c r="E97" s="21"/>
      <c r="F97" s="13"/>
      <c r="G97" s="22"/>
    </row>
    <row r="98">
      <c r="B98" s="13">
        <v>192.0</v>
      </c>
      <c r="C98" s="10" t="s">
        <v>180</v>
      </c>
      <c r="D98" s="10" t="s">
        <v>80</v>
      </c>
      <c r="E98" s="21"/>
      <c r="F98" s="13"/>
      <c r="G98" s="22"/>
    </row>
    <row r="99">
      <c r="B99" s="13">
        <v>193.0</v>
      </c>
      <c r="C99" s="10" t="s">
        <v>181</v>
      </c>
      <c r="D99" s="10" t="s">
        <v>80</v>
      </c>
      <c r="E99" s="21"/>
      <c r="F99" s="13"/>
      <c r="G99" s="22"/>
    </row>
    <row r="100">
      <c r="B100" s="13">
        <v>194.0</v>
      </c>
      <c r="C100" s="10" t="s">
        <v>182</v>
      </c>
      <c r="D100" s="10" t="s">
        <v>80</v>
      </c>
      <c r="E100" s="21"/>
      <c r="F100" s="13"/>
      <c r="G100" s="22"/>
    </row>
    <row r="101">
      <c r="B101" s="13">
        <v>195.0</v>
      </c>
      <c r="C101" s="10" t="s">
        <v>183</v>
      </c>
      <c r="D101" s="10" t="s">
        <v>80</v>
      </c>
      <c r="E101" s="21"/>
      <c r="F101" s="13"/>
      <c r="G101" s="22"/>
    </row>
    <row r="102">
      <c r="B102" s="13">
        <v>196.0</v>
      </c>
      <c r="C102" s="10" t="s">
        <v>184</v>
      </c>
      <c r="D102" s="10" t="s">
        <v>80</v>
      </c>
      <c r="E102" s="21"/>
      <c r="F102" s="13"/>
      <c r="G102" s="22"/>
    </row>
    <row r="103">
      <c r="B103" s="13">
        <v>197.0</v>
      </c>
      <c r="C103" s="10" t="s">
        <v>185</v>
      </c>
      <c r="D103" s="10" t="s">
        <v>80</v>
      </c>
      <c r="E103" s="21"/>
      <c r="F103" s="13"/>
      <c r="G103" s="22"/>
    </row>
    <row r="104">
      <c r="B104" s="13">
        <v>198.0</v>
      </c>
      <c r="C104" s="10" t="s">
        <v>186</v>
      </c>
      <c r="D104" s="10" t="s">
        <v>80</v>
      </c>
      <c r="E104" s="21"/>
      <c r="F104" s="13"/>
      <c r="G104" s="22"/>
    </row>
    <row r="105">
      <c r="B105" s="13">
        <v>199.0</v>
      </c>
      <c r="C105" s="10" t="s">
        <v>187</v>
      </c>
      <c r="D105" s="10" t="s">
        <v>80</v>
      </c>
      <c r="E105" s="21"/>
      <c r="F105" s="13"/>
      <c r="G105" s="22"/>
    </row>
    <row r="106">
      <c r="B106" s="13">
        <v>200.0</v>
      </c>
      <c r="C106" s="10" t="s">
        <v>188</v>
      </c>
      <c r="D106" s="10" t="s">
        <v>80</v>
      </c>
      <c r="E106" s="21"/>
      <c r="F106" s="13"/>
      <c r="G106" s="22"/>
    </row>
    <row r="107">
      <c r="B107" s="13">
        <v>201.0</v>
      </c>
      <c r="C107" s="10" t="s">
        <v>189</v>
      </c>
      <c r="D107" s="10" t="s">
        <v>80</v>
      </c>
      <c r="E107" s="21"/>
      <c r="F107" s="13"/>
      <c r="G107" s="22"/>
    </row>
    <row r="108">
      <c r="B108" s="13">
        <v>202.0</v>
      </c>
      <c r="C108" s="10" t="s">
        <v>190</v>
      </c>
      <c r="D108" s="10" t="s">
        <v>102</v>
      </c>
      <c r="E108" s="21"/>
      <c r="F108" s="13"/>
      <c r="G108" s="22"/>
    </row>
    <row r="109">
      <c r="B109" s="13">
        <v>203.0</v>
      </c>
      <c r="C109" s="10" t="s">
        <v>191</v>
      </c>
      <c r="D109" s="10" t="s">
        <v>102</v>
      </c>
      <c r="E109" s="21"/>
      <c r="F109" s="13"/>
      <c r="G109" s="22"/>
    </row>
    <row r="110">
      <c r="B110" s="13">
        <v>204.0</v>
      </c>
      <c r="C110" s="10" t="s">
        <v>192</v>
      </c>
      <c r="D110" s="10" t="s">
        <v>102</v>
      </c>
      <c r="E110" s="21"/>
      <c r="F110" s="13"/>
      <c r="G110" s="22"/>
    </row>
    <row r="111">
      <c r="B111" s="13">
        <v>205.0</v>
      </c>
      <c r="C111" s="10" t="s">
        <v>193</v>
      </c>
      <c r="D111" s="10" t="s">
        <v>102</v>
      </c>
      <c r="E111" s="21"/>
      <c r="F111" s="13"/>
      <c r="G111" s="22"/>
    </row>
    <row r="112">
      <c r="B112" s="13">
        <v>206.0</v>
      </c>
      <c r="C112" s="10" t="s">
        <v>194</v>
      </c>
      <c r="D112" s="10" t="s">
        <v>102</v>
      </c>
      <c r="E112" s="21"/>
      <c r="F112" s="13"/>
      <c r="G112" s="22"/>
    </row>
    <row r="113">
      <c r="B113" s="13">
        <v>207.0</v>
      </c>
      <c r="C113" s="10" t="s">
        <v>195</v>
      </c>
      <c r="D113" s="10" t="s">
        <v>102</v>
      </c>
      <c r="E113" s="21"/>
      <c r="F113" s="13"/>
      <c r="G113" s="22"/>
    </row>
    <row r="114">
      <c r="B114" s="13">
        <v>208.0</v>
      </c>
      <c r="C114" s="10" t="s">
        <v>196</v>
      </c>
      <c r="D114" s="10" t="s">
        <v>102</v>
      </c>
      <c r="E114" s="21"/>
      <c r="F114" s="13"/>
      <c r="G114" s="22"/>
    </row>
    <row r="115">
      <c r="B115" s="13">
        <v>209.0</v>
      </c>
      <c r="C115" s="10" t="s">
        <v>197</v>
      </c>
      <c r="D115" s="10" t="s">
        <v>102</v>
      </c>
      <c r="E115" s="21"/>
      <c r="F115" s="13"/>
      <c r="G115" s="22"/>
    </row>
    <row r="116">
      <c r="B116" s="13">
        <v>210.0</v>
      </c>
      <c r="C116" s="10" t="s">
        <v>198</v>
      </c>
      <c r="D116" s="10" t="s">
        <v>102</v>
      </c>
      <c r="E116" s="21"/>
      <c r="F116" s="13"/>
      <c r="G116" s="22"/>
    </row>
    <row r="117">
      <c r="B117" s="13">
        <v>211.0</v>
      </c>
      <c r="C117" s="10" t="s">
        <v>199</v>
      </c>
      <c r="D117" s="10" t="s">
        <v>102</v>
      </c>
      <c r="E117" s="21"/>
      <c r="F117" s="13"/>
      <c r="G117" s="22"/>
    </row>
    <row r="118">
      <c r="B118" s="13">
        <v>212.0</v>
      </c>
      <c r="C118" s="10" t="s">
        <v>200</v>
      </c>
      <c r="D118" s="10" t="s">
        <v>102</v>
      </c>
      <c r="E118" s="21"/>
      <c r="F118" s="13"/>
      <c r="G118" s="22"/>
    </row>
    <row r="119">
      <c r="B119" s="13">
        <v>213.0</v>
      </c>
      <c r="C119" s="10" t="s">
        <v>201</v>
      </c>
      <c r="D119" s="10" t="s">
        <v>102</v>
      </c>
      <c r="E119" s="21"/>
      <c r="F119" s="13"/>
      <c r="G119" s="22"/>
    </row>
    <row r="120">
      <c r="B120" s="13">
        <v>214.0</v>
      </c>
      <c r="C120" s="10" t="s">
        <v>202</v>
      </c>
      <c r="D120" s="10" t="s">
        <v>102</v>
      </c>
      <c r="E120" s="21"/>
      <c r="F120" s="13"/>
      <c r="G120" s="22"/>
    </row>
    <row r="121">
      <c r="B121" s="13">
        <v>215.0</v>
      </c>
      <c r="C121" s="10" t="s">
        <v>203</v>
      </c>
      <c r="D121" s="10" t="s">
        <v>102</v>
      </c>
      <c r="E121" s="21"/>
      <c r="F121" s="13"/>
      <c r="G121" s="22"/>
    </row>
    <row r="122">
      <c r="B122" s="13">
        <v>216.0</v>
      </c>
      <c r="C122" s="10" t="s">
        <v>204</v>
      </c>
      <c r="D122" s="10" t="s">
        <v>102</v>
      </c>
      <c r="E122" s="21"/>
      <c r="F122" s="13"/>
      <c r="G122" s="22"/>
    </row>
    <row r="123">
      <c r="B123" s="13">
        <v>217.0</v>
      </c>
      <c r="C123" s="10" t="s">
        <v>205</v>
      </c>
      <c r="D123" s="10" t="s">
        <v>102</v>
      </c>
      <c r="E123" s="21"/>
      <c r="F123" s="13"/>
      <c r="G123" s="22"/>
    </row>
    <row r="124">
      <c r="B124" s="13">
        <v>218.0</v>
      </c>
      <c r="C124" s="10" t="s">
        <v>206</v>
      </c>
      <c r="D124" s="10" t="s">
        <v>102</v>
      </c>
      <c r="E124" s="21"/>
      <c r="F124" s="13"/>
      <c r="G124" s="22"/>
    </row>
    <row r="125">
      <c r="B125" s="13">
        <v>219.0</v>
      </c>
      <c r="C125" s="10" t="s">
        <v>207</v>
      </c>
      <c r="D125" s="10" t="s">
        <v>102</v>
      </c>
      <c r="E125" s="21"/>
      <c r="F125" s="13"/>
      <c r="G125" s="22"/>
    </row>
    <row r="126">
      <c r="B126" s="13">
        <v>220.0</v>
      </c>
      <c r="C126" s="10" t="s">
        <v>208</v>
      </c>
      <c r="D126" s="10" t="s">
        <v>102</v>
      </c>
      <c r="E126" s="21"/>
      <c r="F126" s="13"/>
      <c r="G126" s="22"/>
    </row>
    <row r="127">
      <c r="B127" s="13">
        <v>221.0</v>
      </c>
      <c r="C127" s="10" t="s">
        <v>209</v>
      </c>
      <c r="D127" s="10" t="s">
        <v>102</v>
      </c>
      <c r="E127" s="21"/>
      <c r="F127" s="13"/>
      <c r="G127" s="22"/>
    </row>
    <row r="128">
      <c r="B128" s="13">
        <v>222.0</v>
      </c>
      <c r="C128" s="10" t="s">
        <v>210</v>
      </c>
      <c r="D128" s="10" t="s">
        <v>102</v>
      </c>
      <c r="E128" s="21"/>
      <c r="F128" s="13"/>
      <c r="G128" s="22"/>
    </row>
    <row r="129">
      <c r="B129" s="13">
        <v>223.0</v>
      </c>
      <c r="C129" s="10" t="s">
        <v>211</v>
      </c>
      <c r="D129" s="10" t="s">
        <v>102</v>
      </c>
      <c r="E129" s="21"/>
      <c r="F129" s="13"/>
      <c r="G129" s="22"/>
    </row>
    <row r="130">
      <c r="B130" s="13">
        <v>224.0</v>
      </c>
      <c r="C130" s="10" t="s">
        <v>212</v>
      </c>
      <c r="D130" s="10" t="s">
        <v>102</v>
      </c>
      <c r="E130" s="21"/>
      <c r="F130" s="13"/>
      <c r="G130" s="22"/>
    </row>
    <row r="131">
      <c r="B131" s="13">
        <v>225.0</v>
      </c>
      <c r="C131" s="10" t="s">
        <v>213</v>
      </c>
      <c r="D131" s="10" t="s">
        <v>102</v>
      </c>
      <c r="E131" s="21"/>
      <c r="F131" s="13"/>
      <c r="G131" s="22"/>
    </row>
    <row r="132">
      <c r="B132" s="13">
        <v>226.0</v>
      </c>
      <c r="C132" s="10" t="s">
        <v>214</v>
      </c>
      <c r="D132" s="10" t="s">
        <v>102</v>
      </c>
      <c r="E132" s="21"/>
      <c r="F132" s="13"/>
      <c r="G132" s="22"/>
    </row>
    <row r="133">
      <c r="B133" s="13">
        <v>227.0</v>
      </c>
      <c r="C133" s="10" t="s">
        <v>215</v>
      </c>
      <c r="D133" s="10" t="s">
        <v>102</v>
      </c>
      <c r="E133" s="21"/>
      <c r="F133" s="13"/>
      <c r="G133" s="22"/>
    </row>
    <row r="134">
      <c r="B134" s="13">
        <v>228.0</v>
      </c>
      <c r="C134" s="10" t="s">
        <v>216</v>
      </c>
      <c r="D134" s="10" t="s">
        <v>102</v>
      </c>
      <c r="E134" s="21"/>
      <c r="F134" s="13"/>
      <c r="G134" s="22"/>
    </row>
    <row r="135">
      <c r="B135" s="13">
        <v>229.0</v>
      </c>
      <c r="C135" s="10" t="s">
        <v>217</v>
      </c>
      <c r="D135" s="10" t="s">
        <v>102</v>
      </c>
      <c r="E135" s="21"/>
      <c r="F135" s="13"/>
      <c r="G135" s="22"/>
    </row>
    <row r="136">
      <c r="B136" s="13">
        <v>230.0</v>
      </c>
      <c r="C136" s="10" t="s">
        <v>218</v>
      </c>
      <c r="D136" s="10" t="s">
        <v>102</v>
      </c>
      <c r="E136" s="21"/>
      <c r="F136" s="13"/>
      <c r="G136" s="22"/>
    </row>
    <row r="137">
      <c r="B137" s="13">
        <v>231.0</v>
      </c>
      <c r="C137" s="10" t="s">
        <v>219</v>
      </c>
      <c r="D137" s="10" t="s">
        <v>102</v>
      </c>
      <c r="E137" s="21"/>
      <c r="F137" s="13"/>
      <c r="G137" s="22"/>
    </row>
    <row r="138">
      <c r="B138" s="13">
        <v>232.0</v>
      </c>
      <c r="C138" s="10" t="s">
        <v>220</v>
      </c>
      <c r="D138" s="10" t="s">
        <v>102</v>
      </c>
      <c r="E138" s="21"/>
      <c r="F138" s="13"/>
      <c r="G138" s="22"/>
    </row>
    <row r="139">
      <c r="B139" s="13">
        <v>233.0</v>
      </c>
      <c r="C139" s="10" t="s">
        <v>221</v>
      </c>
      <c r="D139" s="10" t="s">
        <v>102</v>
      </c>
      <c r="E139" s="21"/>
      <c r="F139" s="13"/>
      <c r="G139" s="22"/>
    </row>
    <row r="140">
      <c r="B140" s="13">
        <v>234.0</v>
      </c>
      <c r="C140" s="10" t="s">
        <v>222</v>
      </c>
      <c r="D140" s="10" t="s">
        <v>111</v>
      </c>
      <c r="E140" s="21"/>
      <c r="F140" s="13"/>
      <c r="G140" s="22"/>
    </row>
    <row r="141">
      <c r="B141" s="13">
        <v>235.0</v>
      </c>
      <c r="C141" s="10" t="s">
        <v>223</v>
      </c>
      <c r="D141" s="10" t="s">
        <v>111</v>
      </c>
      <c r="E141" s="21"/>
      <c r="F141" s="13"/>
      <c r="G141" s="22"/>
    </row>
    <row r="142">
      <c r="B142" s="13">
        <v>236.0</v>
      </c>
      <c r="C142" s="10" t="s">
        <v>224</v>
      </c>
      <c r="D142" s="10" t="s">
        <v>111</v>
      </c>
      <c r="E142" s="21"/>
      <c r="F142" s="13"/>
      <c r="G142" s="22"/>
    </row>
    <row r="143">
      <c r="B143" s="13">
        <v>237.0</v>
      </c>
      <c r="C143" s="10" t="s">
        <v>225</v>
      </c>
      <c r="D143" s="10" t="s">
        <v>111</v>
      </c>
      <c r="E143" s="21"/>
      <c r="F143" s="13"/>
      <c r="G143" s="22"/>
    </row>
    <row r="144">
      <c r="B144" s="13">
        <v>238.0</v>
      </c>
      <c r="C144" s="10" t="s">
        <v>226</v>
      </c>
      <c r="D144" s="10" t="s">
        <v>111</v>
      </c>
      <c r="E144" s="21"/>
      <c r="F144" s="13"/>
      <c r="G144" s="22"/>
    </row>
    <row r="145">
      <c r="B145" s="13">
        <v>239.0</v>
      </c>
      <c r="C145" s="10" t="s">
        <v>227</v>
      </c>
      <c r="D145" s="10" t="s">
        <v>111</v>
      </c>
      <c r="E145" s="21"/>
      <c r="F145" s="13"/>
      <c r="G145" s="22"/>
    </row>
    <row r="146">
      <c r="B146" s="13">
        <v>240.0</v>
      </c>
      <c r="C146" s="10" t="s">
        <v>228</v>
      </c>
      <c r="D146" s="10" t="s">
        <v>111</v>
      </c>
      <c r="E146" s="21"/>
      <c r="F146" s="13"/>
      <c r="G146" s="22"/>
    </row>
    <row r="147">
      <c r="B147" s="13">
        <v>241.0</v>
      </c>
      <c r="C147" s="10" t="s">
        <v>229</v>
      </c>
      <c r="D147" s="10" t="s">
        <v>111</v>
      </c>
      <c r="E147" s="21"/>
      <c r="F147" s="13"/>
      <c r="G147" s="22"/>
    </row>
    <row r="148">
      <c r="B148" s="13">
        <v>242.0</v>
      </c>
      <c r="C148" s="10" t="s">
        <v>230</v>
      </c>
      <c r="D148" s="10" t="s">
        <v>111</v>
      </c>
      <c r="E148" s="21"/>
      <c r="F148" s="13"/>
      <c r="G148" s="22"/>
    </row>
    <row r="149">
      <c r="B149" s="13">
        <v>243.0</v>
      </c>
      <c r="C149" s="10" t="s">
        <v>231</v>
      </c>
      <c r="D149" s="10" t="s">
        <v>111</v>
      </c>
      <c r="E149" s="21"/>
      <c r="F149" s="13"/>
      <c r="G149" s="22"/>
    </row>
    <row r="150">
      <c r="B150" s="13">
        <v>244.0</v>
      </c>
      <c r="C150" s="10" t="s">
        <v>232</v>
      </c>
      <c r="D150" s="10" t="s">
        <v>111</v>
      </c>
      <c r="E150" s="21"/>
      <c r="F150" s="13"/>
      <c r="G150" s="22"/>
    </row>
    <row r="151">
      <c r="B151" s="13">
        <v>245.0</v>
      </c>
      <c r="C151" s="10" t="s">
        <v>233</v>
      </c>
      <c r="D151" s="10" t="s">
        <v>111</v>
      </c>
      <c r="E151" s="21"/>
      <c r="F151" s="13"/>
      <c r="G151" s="22"/>
    </row>
    <row r="152">
      <c r="B152" s="13">
        <v>246.0</v>
      </c>
      <c r="C152" s="10" t="s">
        <v>234</v>
      </c>
      <c r="D152" s="10" t="s">
        <v>111</v>
      </c>
      <c r="E152" s="21"/>
      <c r="F152" s="13"/>
      <c r="G152" s="22"/>
    </row>
    <row r="153">
      <c r="B153" s="13">
        <v>247.0</v>
      </c>
      <c r="C153" s="10" t="s">
        <v>235</v>
      </c>
      <c r="D153" s="10" t="s">
        <v>111</v>
      </c>
      <c r="E153" s="21"/>
      <c r="F153" s="13"/>
      <c r="G153" s="22"/>
    </row>
    <row r="154">
      <c r="B154" s="13">
        <v>248.0</v>
      </c>
      <c r="C154" s="10" t="s">
        <v>236</v>
      </c>
      <c r="D154" s="10" t="s">
        <v>111</v>
      </c>
      <c r="E154" s="21"/>
      <c r="F154" s="13"/>
      <c r="G154" s="22"/>
    </row>
    <row r="155">
      <c r="B155" s="13">
        <v>249.0</v>
      </c>
      <c r="C155" s="10" t="s">
        <v>237</v>
      </c>
      <c r="D155" s="10" t="s">
        <v>111</v>
      </c>
      <c r="E155" s="21"/>
      <c r="F155" s="13"/>
      <c r="G155" s="22"/>
    </row>
    <row r="156">
      <c r="B156" s="13">
        <v>250.0</v>
      </c>
      <c r="C156" s="10" t="s">
        <v>238</v>
      </c>
      <c r="D156" s="10" t="s">
        <v>111</v>
      </c>
      <c r="E156" s="21"/>
      <c r="F156" s="13"/>
      <c r="G156" s="22"/>
    </row>
    <row r="157">
      <c r="B157" s="13">
        <v>251.0</v>
      </c>
      <c r="C157" s="10" t="s">
        <v>239</v>
      </c>
      <c r="D157" s="10" t="s">
        <v>111</v>
      </c>
      <c r="E157" s="21"/>
      <c r="F157" s="13"/>
      <c r="G157" s="22"/>
    </row>
    <row r="158">
      <c r="B158" s="13">
        <v>252.0</v>
      </c>
      <c r="C158" s="10" t="s">
        <v>240</v>
      </c>
      <c r="D158" s="10" t="s">
        <v>111</v>
      </c>
      <c r="E158" s="21"/>
      <c r="F158" s="13"/>
      <c r="G158" s="22"/>
    </row>
    <row r="159">
      <c r="B159" s="13">
        <v>253.0</v>
      </c>
      <c r="C159" s="10" t="s">
        <v>241</v>
      </c>
      <c r="D159" s="10" t="s">
        <v>111</v>
      </c>
      <c r="E159" s="21"/>
      <c r="F159" s="13"/>
      <c r="G159" s="22"/>
    </row>
    <row r="160">
      <c r="B160" s="13">
        <v>254.0</v>
      </c>
      <c r="C160" s="10" t="s">
        <v>242</v>
      </c>
      <c r="D160" s="10" t="s">
        <v>111</v>
      </c>
      <c r="E160" s="21"/>
      <c r="F160" s="13"/>
      <c r="G160" s="22"/>
    </row>
    <row r="161">
      <c r="B161" s="13">
        <v>255.0</v>
      </c>
      <c r="C161" s="10" t="s">
        <v>243</v>
      </c>
      <c r="D161" s="10" t="s">
        <v>111</v>
      </c>
      <c r="E161" s="21"/>
      <c r="F161" s="13"/>
      <c r="G161" s="22"/>
    </row>
    <row r="162">
      <c r="B162" s="13">
        <v>256.0</v>
      </c>
      <c r="C162" s="10" t="s">
        <v>244</v>
      </c>
      <c r="D162" s="10" t="s">
        <v>111</v>
      </c>
      <c r="E162" s="21"/>
      <c r="F162" s="13"/>
      <c r="G162" s="22"/>
    </row>
    <row r="163">
      <c r="B163" s="13">
        <v>257.0</v>
      </c>
      <c r="C163" s="10" t="s">
        <v>245</v>
      </c>
      <c r="D163" s="10" t="s">
        <v>121</v>
      </c>
      <c r="E163" s="21"/>
      <c r="F163" s="13"/>
      <c r="G163" s="22"/>
    </row>
    <row r="164">
      <c r="B164" s="13">
        <v>258.0</v>
      </c>
      <c r="C164" s="10" t="s">
        <v>246</v>
      </c>
      <c r="D164" s="10" t="s">
        <v>121</v>
      </c>
      <c r="E164" s="21"/>
      <c r="F164" s="13"/>
      <c r="G164" s="22"/>
    </row>
    <row r="165">
      <c r="B165" s="13">
        <v>259.0</v>
      </c>
      <c r="C165" s="10" t="s">
        <v>247</v>
      </c>
      <c r="D165" s="10" t="s">
        <v>121</v>
      </c>
      <c r="E165" s="21"/>
      <c r="F165" s="13"/>
      <c r="G165" s="22"/>
    </row>
    <row r="166">
      <c r="B166" s="13">
        <v>260.0</v>
      </c>
      <c r="C166" s="10" t="s">
        <v>248</v>
      </c>
      <c r="D166" s="10" t="s">
        <v>121</v>
      </c>
      <c r="E166" s="21"/>
      <c r="F166" s="13"/>
      <c r="G166" s="22"/>
    </row>
    <row r="167">
      <c r="B167" s="13">
        <v>261.0</v>
      </c>
      <c r="C167" s="10" t="s">
        <v>249</v>
      </c>
      <c r="D167" s="10" t="s">
        <v>121</v>
      </c>
      <c r="E167" s="21"/>
      <c r="F167" s="13"/>
      <c r="G167" s="22"/>
    </row>
    <row r="168">
      <c r="B168" s="13">
        <v>262.0</v>
      </c>
      <c r="C168" s="10" t="s">
        <v>250</v>
      </c>
      <c r="D168" s="10" t="s">
        <v>121</v>
      </c>
      <c r="E168" s="21"/>
      <c r="F168" s="13"/>
      <c r="G168" s="22"/>
    </row>
    <row r="169">
      <c r="B169" s="13">
        <v>263.0</v>
      </c>
      <c r="C169" s="10" t="s">
        <v>251</v>
      </c>
      <c r="D169" s="10" t="s">
        <v>121</v>
      </c>
      <c r="E169" s="21"/>
      <c r="F169" s="13"/>
      <c r="G169" s="22"/>
    </row>
    <row r="170">
      <c r="B170" s="13">
        <v>264.0</v>
      </c>
      <c r="C170" s="10" t="s">
        <v>252</v>
      </c>
      <c r="D170" s="10" t="s">
        <v>121</v>
      </c>
      <c r="E170" s="21"/>
      <c r="F170" s="13"/>
      <c r="G170" s="22"/>
    </row>
    <row r="171">
      <c r="B171" s="13">
        <v>265.0</v>
      </c>
      <c r="C171" s="10" t="s">
        <v>253</v>
      </c>
      <c r="D171" s="10" t="s">
        <v>121</v>
      </c>
      <c r="E171" s="21"/>
      <c r="F171" s="13"/>
      <c r="G171" s="22"/>
    </row>
    <row r="172">
      <c r="B172" s="13">
        <v>266.0</v>
      </c>
      <c r="C172" s="10" t="s">
        <v>254</v>
      </c>
      <c r="D172" s="10" t="s">
        <v>121</v>
      </c>
      <c r="E172" s="21"/>
      <c r="F172" s="13"/>
      <c r="G172" s="22"/>
    </row>
    <row r="173">
      <c r="B173" s="13">
        <v>267.0</v>
      </c>
      <c r="C173" s="10" t="s">
        <v>255</v>
      </c>
      <c r="D173" s="10" t="s">
        <v>121</v>
      </c>
      <c r="E173" s="21"/>
      <c r="F173" s="13"/>
      <c r="G173" s="22"/>
    </row>
    <row r="174">
      <c r="B174" s="13">
        <v>268.0</v>
      </c>
      <c r="C174" s="10" t="s">
        <v>256</v>
      </c>
      <c r="D174" s="10" t="s">
        <v>121</v>
      </c>
      <c r="E174" s="21"/>
      <c r="F174" s="13"/>
      <c r="G174" s="22"/>
    </row>
    <row r="175">
      <c r="B175" s="13">
        <v>269.0</v>
      </c>
      <c r="C175" s="10" t="s">
        <v>257</v>
      </c>
      <c r="D175" s="10" t="s">
        <v>121</v>
      </c>
      <c r="E175" s="21"/>
      <c r="F175" s="13"/>
      <c r="G175" s="22"/>
    </row>
    <row r="176">
      <c r="B176" s="13">
        <v>270.0</v>
      </c>
      <c r="C176" s="10" t="s">
        <v>258</v>
      </c>
      <c r="D176" s="10" t="s">
        <v>121</v>
      </c>
      <c r="E176" s="21"/>
      <c r="F176" s="13"/>
      <c r="G176" s="22"/>
    </row>
    <row r="177">
      <c r="B177" s="13">
        <v>271.0</v>
      </c>
      <c r="C177" s="10" t="s">
        <v>259</v>
      </c>
      <c r="D177" s="10" t="s">
        <v>121</v>
      </c>
      <c r="E177" s="21"/>
      <c r="F177" s="13"/>
      <c r="G177" s="22"/>
    </row>
    <row r="178">
      <c r="B178" s="13">
        <v>272.0</v>
      </c>
      <c r="C178" s="10" t="s">
        <v>260</v>
      </c>
      <c r="D178" s="10" t="s">
        <v>121</v>
      </c>
      <c r="E178" s="21"/>
      <c r="F178" s="13"/>
      <c r="G178" s="22"/>
    </row>
    <row r="179">
      <c r="B179" s="13">
        <v>273.0</v>
      </c>
      <c r="C179" s="10" t="s">
        <v>261</v>
      </c>
      <c r="D179" s="10" t="s">
        <v>121</v>
      </c>
      <c r="E179" s="21"/>
      <c r="F179" s="13"/>
      <c r="G179" s="22"/>
    </row>
    <row r="180">
      <c r="B180" s="13">
        <v>274.0</v>
      </c>
      <c r="C180" s="10" t="s">
        <v>262</v>
      </c>
      <c r="D180" s="10" t="s">
        <v>121</v>
      </c>
      <c r="E180" s="21"/>
      <c r="F180" s="13"/>
      <c r="G180" s="22"/>
    </row>
    <row r="181">
      <c r="B181" s="13">
        <v>275.0</v>
      </c>
      <c r="C181" s="10" t="s">
        <v>263</v>
      </c>
      <c r="D181" s="10" t="s">
        <v>121</v>
      </c>
      <c r="E181" s="21"/>
      <c r="F181" s="13"/>
      <c r="G181" s="22"/>
    </row>
    <row r="182">
      <c r="B182" s="13">
        <v>276.0</v>
      </c>
      <c r="C182" s="10" t="s">
        <v>264</v>
      </c>
      <c r="D182" s="10" t="s">
        <v>121</v>
      </c>
      <c r="E182" s="21"/>
      <c r="F182" s="13"/>
      <c r="G182" s="22"/>
    </row>
    <row r="183">
      <c r="B183" s="13">
        <v>277.0</v>
      </c>
      <c r="C183" s="10" t="s">
        <v>265</v>
      </c>
      <c r="D183" s="10" t="s">
        <v>121</v>
      </c>
      <c r="E183" s="21"/>
      <c r="F183" s="13"/>
      <c r="G183" s="22"/>
    </row>
    <row r="184">
      <c r="B184" s="13">
        <v>278.0</v>
      </c>
      <c r="C184" s="10" t="s">
        <v>266</v>
      </c>
      <c r="D184" s="10" t="s">
        <v>121</v>
      </c>
      <c r="E184" s="21"/>
      <c r="F184" s="13"/>
      <c r="G184" s="22"/>
    </row>
    <row r="185">
      <c r="B185" s="13">
        <v>279.0</v>
      </c>
      <c r="C185" s="10" t="s">
        <v>267</v>
      </c>
      <c r="D185" s="10" t="s">
        <v>121</v>
      </c>
      <c r="E185" s="21"/>
      <c r="F185" s="13"/>
      <c r="G185" s="22"/>
    </row>
    <row r="186">
      <c r="B186" s="13">
        <v>280.0</v>
      </c>
      <c r="C186" s="10" t="s">
        <v>268</v>
      </c>
      <c r="D186" s="10" t="s">
        <v>121</v>
      </c>
      <c r="E186" s="21"/>
      <c r="F186" s="13"/>
      <c r="G186" s="22"/>
    </row>
    <row r="187">
      <c r="B187" s="13">
        <v>281.0</v>
      </c>
      <c r="C187" s="10" t="s">
        <v>269</v>
      </c>
      <c r="D187" s="10" t="s">
        <v>121</v>
      </c>
      <c r="E187" s="21"/>
      <c r="F187" s="13"/>
      <c r="G187" s="22"/>
    </row>
    <row r="188">
      <c r="B188" s="13">
        <v>282.0</v>
      </c>
      <c r="C188" s="10" t="s">
        <v>270</v>
      </c>
      <c r="D188" s="10" t="s">
        <v>121</v>
      </c>
      <c r="E188" s="21"/>
      <c r="F188" s="13"/>
      <c r="G188" s="22"/>
    </row>
    <row r="189">
      <c r="B189" s="13">
        <v>283.0</v>
      </c>
      <c r="C189" s="10" t="s">
        <v>271</v>
      </c>
      <c r="D189" s="10" t="s">
        <v>121</v>
      </c>
      <c r="E189" s="21"/>
      <c r="F189" s="13"/>
      <c r="G189" s="22"/>
    </row>
    <row r="190">
      <c r="B190" s="13">
        <v>284.0</v>
      </c>
      <c r="C190" s="10" t="s">
        <v>272</v>
      </c>
      <c r="D190" s="10" t="s">
        <v>121</v>
      </c>
      <c r="E190" s="21"/>
      <c r="F190" s="13"/>
      <c r="G190" s="22"/>
    </row>
    <row r="191">
      <c r="B191" s="13">
        <v>285.0</v>
      </c>
      <c r="C191" s="10" t="s">
        <v>273</v>
      </c>
      <c r="D191" s="10" t="s">
        <v>121</v>
      </c>
      <c r="E191" s="21"/>
      <c r="F191" s="13"/>
      <c r="G191" s="22"/>
    </row>
    <row r="192">
      <c r="B192" s="13">
        <v>286.0</v>
      </c>
      <c r="C192" s="10" t="s">
        <v>274</v>
      </c>
      <c r="D192" s="10" t="s">
        <v>129</v>
      </c>
      <c r="E192" s="21"/>
      <c r="F192" s="13"/>
      <c r="G192" s="22"/>
    </row>
    <row r="193">
      <c r="B193" s="13">
        <v>287.0</v>
      </c>
      <c r="C193" s="10" t="s">
        <v>275</v>
      </c>
      <c r="D193" s="10" t="s">
        <v>129</v>
      </c>
      <c r="E193" s="21"/>
      <c r="F193" s="13"/>
      <c r="G193" s="22"/>
    </row>
    <row r="194">
      <c r="B194" s="13">
        <v>288.0</v>
      </c>
      <c r="C194" s="10" t="s">
        <v>276</v>
      </c>
      <c r="D194" s="10" t="s">
        <v>129</v>
      </c>
      <c r="E194" s="21"/>
      <c r="F194" s="13"/>
      <c r="G194" s="22"/>
    </row>
    <row r="195">
      <c r="B195" s="13">
        <v>289.0</v>
      </c>
      <c r="C195" s="10" t="s">
        <v>277</v>
      </c>
      <c r="D195" s="10" t="s">
        <v>129</v>
      </c>
      <c r="E195" s="21"/>
      <c r="F195" s="13"/>
      <c r="G195" s="22"/>
    </row>
    <row r="196">
      <c r="B196" s="13">
        <v>290.0</v>
      </c>
      <c r="C196" s="10" t="s">
        <v>278</v>
      </c>
      <c r="D196" s="10" t="s">
        <v>129</v>
      </c>
      <c r="E196" s="21"/>
      <c r="F196" s="13"/>
      <c r="G196" s="22"/>
    </row>
    <row r="197">
      <c r="B197" s="13">
        <v>291.0</v>
      </c>
      <c r="C197" s="10" t="s">
        <v>279</v>
      </c>
      <c r="D197" s="10" t="s">
        <v>129</v>
      </c>
      <c r="E197" s="21"/>
      <c r="F197" s="13"/>
      <c r="G197" s="22"/>
    </row>
    <row r="198">
      <c r="B198" s="13">
        <v>292.0</v>
      </c>
      <c r="C198" s="10" t="s">
        <v>280</v>
      </c>
      <c r="D198" s="10" t="s">
        <v>129</v>
      </c>
      <c r="E198" s="21"/>
      <c r="F198" s="13"/>
      <c r="G198" s="22"/>
    </row>
    <row r="199">
      <c r="B199" s="13">
        <v>293.0</v>
      </c>
      <c r="C199" s="10" t="s">
        <v>281</v>
      </c>
      <c r="D199" s="10" t="s">
        <v>129</v>
      </c>
      <c r="E199" s="21"/>
      <c r="F199" s="13"/>
      <c r="G199" s="22"/>
    </row>
    <row r="200">
      <c r="B200" s="13">
        <v>294.0</v>
      </c>
      <c r="C200" s="10" t="s">
        <v>282</v>
      </c>
      <c r="D200" s="10" t="s">
        <v>129</v>
      </c>
      <c r="E200" s="21"/>
      <c r="F200" s="13"/>
      <c r="G200" s="22"/>
    </row>
    <row r="201">
      <c r="B201" s="13">
        <v>295.0</v>
      </c>
      <c r="C201" s="10" t="s">
        <v>283</v>
      </c>
      <c r="D201" s="10" t="s">
        <v>129</v>
      </c>
      <c r="E201" s="21"/>
      <c r="F201" s="13"/>
      <c r="G201" s="22"/>
    </row>
    <row r="202">
      <c r="B202" s="13">
        <v>296.0</v>
      </c>
      <c r="C202" s="10" t="s">
        <v>284</v>
      </c>
      <c r="D202" s="10" t="s">
        <v>129</v>
      </c>
      <c r="E202" s="21"/>
      <c r="F202" s="13"/>
      <c r="G202" s="22"/>
    </row>
    <row r="203">
      <c r="B203" s="13">
        <v>297.0</v>
      </c>
      <c r="C203" s="10" t="s">
        <v>285</v>
      </c>
      <c r="D203" s="10" t="s">
        <v>129</v>
      </c>
      <c r="E203" s="21"/>
      <c r="F203" s="13"/>
      <c r="G203" s="22"/>
    </row>
    <row r="204">
      <c r="B204" s="13">
        <v>298.0</v>
      </c>
      <c r="C204" s="10" t="s">
        <v>286</v>
      </c>
      <c r="D204" s="10" t="s">
        <v>129</v>
      </c>
      <c r="E204" s="21"/>
      <c r="F204" s="13"/>
      <c r="G204" s="22"/>
    </row>
    <row r="205">
      <c r="B205" s="13">
        <v>299.0</v>
      </c>
      <c r="C205" s="10" t="s">
        <v>287</v>
      </c>
      <c r="D205" s="10" t="s">
        <v>129</v>
      </c>
      <c r="E205" s="21"/>
      <c r="F205" s="13"/>
      <c r="G205" s="22"/>
    </row>
    <row r="206">
      <c r="B206" s="13">
        <v>300.0</v>
      </c>
      <c r="C206" s="10" t="s">
        <v>288</v>
      </c>
      <c r="D206" s="10" t="s">
        <v>129</v>
      </c>
      <c r="E206" s="21"/>
      <c r="F206" s="13"/>
      <c r="G206" s="22"/>
    </row>
    <row r="207">
      <c r="B207" s="13">
        <v>301.0</v>
      </c>
      <c r="C207" s="10" t="s">
        <v>289</v>
      </c>
      <c r="D207" s="10" t="s">
        <v>129</v>
      </c>
      <c r="E207" s="21"/>
      <c r="F207" s="13"/>
      <c r="G207" s="22"/>
    </row>
    <row r="208">
      <c r="B208" s="13">
        <v>302.0</v>
      </c>
      <c r="C208" s="10" t="s">
        <v>290</v>
      </c>
      <c r="D208" s="10" t="s">
        <v>129</v>
      </c>
      <c r="E208" s="21"/>
      <c r="F208" s="13"/>
      <c r="G208" s="22"/>
    </row>
    <row r="209">
      <c r="B209" s="13">
        <v>303.0</v>
      </c>
      <c r="C209" s="10" t="s">
        <v>291</v>
      </c>
      <c r="D209" s="10" t="s">
        <v>129</v>
      </c>
      <c r="E209" s="21"/>
      <c r="F209" s="13"/>
      <c r="G209" s="22"/>
    </row>
    <row r="210">
      <c r="B210" s="13">
        <v>304.0</v>
      </c>
      <c r="C210" s="10" t="s">
        <v>292</v>
      </c>
      <c r="D210" s="10" t="s">
        <v>129</v>
      </c>
      <c r="E210" s="21"/>
      <c r="F210" s="13"/>
      <c r="G210" s="22"/>
    </row>
    <row r="211">
      <c r="B211" s="13">
        <v>305.0</v>
      </c>
      <c r="C211" s="10" t="s">
        <v>293</v>
      </c>
      <c r="D211" s="10" t="s">
        <v>129</v>
      </c>
      <c r="E211" s="21"/>
      <c r="F211" s="13"/>
      <c r="G211" s="22"/>
    </row>
    <row r="212">
      <c r="B212" s="13">
        <v>306.0</v>
      </c>
      <c r="C212" s="10" t="s">
        <v>294</v>
      </c>
      <c r="D212" s="10" t="s">
        <v>129</v>
      </c>
      <c r="E212" s="21"/>
      <c r="F212" s="13"/>
      <c r="G212" s="22"/>
    </row>
    <row r="213">
      <c r="B213" s="13">
        <v>307.0</v>
      </c>
      <c r="C213" s="10" t="s">
        <v>295</v>
      </c>
      <c r="D213" s="10" t="s">
        <v>129</v>
      </c>
      <c r="E213" s="21"/>
      <c r="F213" s="13"/>
      <c r="G213" s="22"/>
    </row>
    <row r="214">
      <c r="B214" s="13">
        <v>308.0</v>
      </c>
      <c r="C214" s="10" t="s">
        <v>296</v>
      </c>
      <c r="D214" s="10" t="s">
        <v>129</v>
      </c>
      <c r="E214" s="21"/>
      <c r="F214" s="13"/>
      <c r="G214" s="22"/>
    </row>
    <row r="215">
      <c r="B215" s="13">
        <v>309.0</v>
      </c>
      <c r="C215" s="10" t="s">
        <v>297</v>
      </c>
      <c r="D215" s="10" t="s">
        <v>129</v>
      </c>
      <c r="E215" s="21"/>
      <c r="F215" s="13"/>
      <c r="G215" s="22"/>
    </row>
    <row r="216">
      <c r="B216" s="13">
        <v>310.0</v>
      </c>
      <c r="C216" s="10" t="s">
        <v>298</v>
      </c>
      <c r="D216" s="10" t="s">
        <v>129</v>
      </c>
      <c r="E216" s="21"/>
      <c r="F216" s="13"/>
      <c r="G216" s="22"/>
    </row>
    <row r="217">
      <c r="B217" s="13">
        <v>311.0</v>
      </c>
      <c r="C217" s="10" t="s">
        <v>299</v>
      </c>
      <c r="D217" s="10" t="s">
        <v>129</v>
      </c>
      <c r="E217" s="21"/>
      <c r="F217" s="13"/>
      <c r="G217" s="22"/>
    </row>
    <row r="218">
      <c r="B218" s="13">
        <v>312.0</v>
      </c>
      <c r="C218" s="10" t="s">
        <v>300</v>
      </c>
      <c r="D218" s="10" t="s">
        <v>129</v>
      </c>
      <c r="E218" s="21"/>
      <c r="F218" s="13"/>
      <c r="G218" s="22"/>
    </row>
    <row r="219">
      <c r="B219" s="13">
        <v>313.0</v>
      </c>
      <c r="C219" s="10" t="s">
        <v>301</v>
      </c>
      <c r="D219" s="10" t="s">
        <v>129</v>
      </c>
      <c r="E219" s="21"/>
      <c r="F219" s="13"/>
      <c r="G219" s="22"/>
    </row>
    <row r="220">
      <c r="B220" s="13">
        <v>314.0</v>
      </c>
      <c r="C220" s="10" t="s">
        <v>302</v>
      </c>
      <c r="D220" s="10" t="s">
        <v>139</v>
      </c>
      <c r="E220" s="21"/>
      <c r="F220" s="13"/>
      <c r="G220" s="22"/>
    </row>
    <row r="221">
      <c r="B221" s="13">
        <v>315.0</v>
      </c>
      <c r="C221" s="10" t="s">
        <v>303</v>
      </c>
      <c r="D221" s="10" t="s">
        <v>139</v>
      </c>
      <c r="E221" s="21"/>
      <c r="F221" s="13"/>
      <c r="G221" s="22"/>
    </row>
    <row r="222">
      <c r="B222" s="13">
        <v>316.0</v>
      </c>
      <c r="C222" s="10" t="s">
        <v>304</v>
      </c>
      <c r="D222" s="10" t="s">
        <v>139</v>
      </c>
      <c r="E222" s="21"/>
      <c r="F222" s="13"/>
      <c r="G222" s="22"/>
    </row>
    <row r="223">
      <c r="B223" s="13">
        <v>317.0</v>
      </c>
      <c r="C223" s="10" t="s">
        <v>305</v>
      </c>
      <c r="D223" s="10" t="s">
        <v>139</v>
      </c>
      <c r="E223" s="21"/>
      <c r="F223" s="13"/>
      <c r="G223" s="22"/>
    </row>
    <row r="224">
      <c r="B224" s="13">
        <v>318.0</v>
      </c>
      <c r="C224" s="10" t="s">
        <v>306</v>
      </c>
      <c r="D224" s="10" t="s">
        <v>139</v>
      </c>
      <c r="E224" s="21"/>
      <c r="F224" s="13"/>
      <c r="G224" s="22"/>
    </row>
    <row r="225">
      <c r="B225" s="13">
        <v>319.0</v>
      </c>
      <c r="C225" s="10" t="s">
        <v>307</v>
      </c>
      <c r="D225" s="10" t="s">
        <v>139</v>
      </c>
      <c r="E225" s="21"/>
      <c r="F225" s="13"/>
      <c r="G225" s="22"/>
    </row>
    <row r="226">
      <c r="B226" s="13">
        <v>320.0</v>
      </c>
      <c r="C226" s="10" t="s">
        <v>308</v>
      </c>
      <c r="D226" s="10" t="s">
        <v>139</v>
      </c>
      <c r="E226" s="21"/>
      <c r="F226" s="13"/>
      <c r="G226" s="22"/>
    </row>
    <row r="227">
      <c r="B227" s="13">
        <v>321.0</v>
      </c>
      <c r="C227" s="10" t="s">
        <v>309</v>
      </c>
      <c r="D227" s="10" t="s">
        <v>139</v>
      </c>
      <c r="E227" s="21"/>
      <c r="F227" s="13"/>
      <c r="G227" s="22"/>
    </row>
    <row r="228">
      <c r="B228" s="13">
        <v>322.0</v>
      </c>
      <c r="C228" s="10" t="s">
        <v>310</v>
      </c>
      <c r="D228" s="10" t="s">
        <v>139</v>
      </c>
      <c r="E228" s="21"/>
      <c r="F228" s="13"/>
      <c r="G228" s="22"/>
    </row>
    <row r="229">
      <c r="B229" s="13">
        <v>323.0</v>
      </c>
      <c r="C229" s="10" t="s">
        <v>311</v>
      </c>
      <c r="D229" s="10" t="s">
        <v>139</v>
      </c>
      <c r="E229" s="21"/>
      <c r="F229" s="13"/>
      <c r="G229" s="22"/>
    </row>
    <row r="230">
      <c r="B230" s="13">
        <v>324.0</v>
      </c>
      <c r="C230" s="10" t="s">
        <v>312</v>
      </c>
      <c r="D230" s="10" t="s">
        <v>139</v>
      </c>
      <c r="E230" s="21"/>
      <c r="F230" s="13"/>
      <c r="G230" s="22"/>
    </row>
    <row r="231">
      <c r="B231" s="13">
        <v>325.0</v>
      </c>
      <c r="C231" s="10" t="s">
        <v>313</v>
      </c>
      <c r="D231" s="10" t="s">
        <v>139</v>
      </c>
      <c r="E231" s="21"/>
      <c r="F231" s="13"/>
      <c r="G231" s="22"/>
    </row>
    <row r="232">
      <c r="B232" s="13">
        <v>326.0</v>
      </c>
      <c r="C232" s="10" t="s">
        <v>314</v>
      </c>
      <c r="D232" s="10" t="s">
        <v>139</v>
      </c>
      <c r="E232" s="21"/>
      <c r="F232" s="13"/>
      <c r="G232" s="22"/>
    </row>
    <row r="233">
      <c r="B233" s="13">
        <v>327.0</v>
      </c>
      <c r="C233" s="10" t="s">
        <v>315</v>
      </c>
      <c r="D233" s="10" t="s">
        <v>139</v>
      </c>
      <c r="E233" s="21"/>
      <c r="F233" s="13"/>
      <c r="G233" s="22"/>
    </row>
    <row r="234">
      <c r="B234" s="13">
        <v>328.0</v>
      </c>
      <c r="C234" s="10" t="s">
        <v>316</v>
      </c>
      <c r="D234" s="10" t="s">
        <v>139</v>
      </c>
      <c r="E234" s="21"/>
      <c r="F234" s="13"/>
      <c r="G234" s="22"/>
    </row>
    <row r="235">
      <c r="B235" s="13">
        <v>329.0</v>
      </c>
      <c r="C235" s="10" t="s">
        <v>317</v>
      </c>
      <c r="D235" s="10" t="s">
        <v>139</v>
      </c>
      <c r="E235" s="21"/>
      <c r="F235" s="13"/>
      <c r="G235" s="22"/>
    </row>
    <row r="236">
      <c r="B236" s="13">
        <v>330.0</v>
      </c>
      <c r="C236" s="10" t="s">
        <v>318</v>
      </c>
      <c r="D236" s="10" t="s">
        <v>139</v>
      </c>
      <c r="E236" s="21"/>
      <c r="F236" s="13"/>
      <c r="G236" s="22"/>
    </row>
    <row r="237">
      <c r="B237" s="13">
        <v>331.0</v>
      </c>
      <c r="C237" s="10" t="s">
        <v>319</v>
      </c>
      <c r="D237" s="10" t="s">
        <v>139</v>
      </c>
      <c r="E237" s="21"/>
      <c r="F237" s="13"/>
      <c r="G237" s="22"/>
    </row>
    <row r="238">
      <c r="B238" s="13">
        <v>332.0</v>
      </c>
      <c r="C238" s="10" t="s">
        <v>320</v>
      </c>
      <c r="D238" s="10" t="s">
        <v>139</v>
      </c>
      <c r="E238" s="21"/>
      <c r="F238" s="13"/>
      <c r="G238" s="22"/>
    </row>
    <row r="239">
      <c r="B239" s="13">
        <v>333.0</v>
      </c>
      <c r="C239" s="10" t="s">
        <v>321</v>
      </c>
      <c r="D239" s="10" t="s">
        <v>139</v>
      </c>
      <c r="E239" s="21"/>
      <c r="F239" s="13"/>
      <c r="G239" s="22"/>
    </row>
    <row r="240">
      <c r="B240" s="13">
        <v>334.0</v>
      </c>
      <c r="C240" s="10" t="s">
        <v>322</v>
      </c>
      <c r="D240" s="10" t="s">
        <v>139</v>
      </c>
      <c r="E240" s="21"/>
      <c r="F240" s="13"/>
      <c r="G240" s="22"/>
    </row>
    <row r="241">
      <c r="B241" s="13">
        <v>335.0</v>
      </c>
      <c r="C241" s="10" t="s">
        <v>323</v>
      </c>
      <c r="D241" s="10" t="s">
        <v>139</v>
      </c>
      <c r="E241" s="21"/>
      <c r="F241" s="13"/>
      <c r="G241" s="22"/>
    </row>
    <row r="242">
      <c r="B242" s="13">
        <v>336.0</v>
      </c>
      <c r="C242" s="10" t="s">
        <v>324</v>
      </c>
      <c r="D242" s="10" t="s">
        <v>139</v>
      </c>
      <c r="E242" s="21"/>
      <c r="F242" s="13"/>
      <c r="G242" s="22"/>
    </row>
    <row r="243">
      <c r="B243" s="13">
        <v>337.0</v>
      </c>
      <c r="C243" s="10" t="s">
        <v>325</v>
      </c>
      <c r="D243" s="10" t="s">
        <v>139</v>
      </c>
      <c r="E243" s="21"/>
      <c r="F243" s="13"/>
      <c r="G243" s="22"/>
    </row>
    <row r="244">
      <c r="B244" s="13">
        <v>338.0</v>
      </c>
      <c r="C244" s="10" t="s">
        <v>326</v>
      </c>
      <c r="D244" s="10" t="s">
        <v>139</v>
      </c>
      <c r="E244" s="21"/>
      <c r="F244" s="13"/>
      <c r="G244" s="22"/>
    </row>
    <row r="245">
      <c r="B245" s="13">
        <v>339.0</v>
      </c>
      <c r="C245" s="10" t="s">
        <v>327</v>
      </c>
      <c r="D245" s="10" t="s">
        <v>139</v>
      </c>
      <c r="E245" s="21"/>
      <c r="F245" s="13"/>
      <c r="G245" s="22"/>
    </row>
    <row r="246">
      <c r="B246" s="13">
        <v>340.0</v>
      </c>
      <c r="C246" s="10" t="s">
        <v>328</v>
      </c>
      <c r="D246" s="10" t="s">
        <v>139</v>
      </c>
      <c r="E246" s="21"/>
      <c r="F246" s="13"/>
      <c r="G246" s="22"/>
    </row>
    <row r="247">
      <c r="B247" s="13">
        <v>341.0</v>
      </c>
      <c r="C247" s="10" t="s">
        <v>329</v>
      </c>
      <c r="D247" s="10" t="s">
        <v>146</v>
      </c>
      <c r="E247" s="21"/>
      <c r="F247" s="13"/>
      <c r="G247" s="22"/>
    </row>
    <row r="248">
      <c r="B248" s="13">
        <v>342.0</v>
      </c>
      <c r="C248" s="10" t="s">
        <v>330</v>
      </c>
      <c r="D248" s="10" t="s">
        <v>146</v>
      </c>
      <c r="E248" s="21"/>
      <c r="F248" s="13"/>
      <c r="G248" s="22"/>
    </row>
    <row r="249">
      <c r="B249" s="13">
        <v>343.0</v>
      </c>
      <c r="C249" s="10" t="s">
        <v>331</v>
      </c>
      <c r="D249" s="10" t="s">
        <v>146</v>
      </c>
      <c r="E249" s="21"/>
      <c r="F249" s="13"/>
      <c r="G249" s="22"/>
    </row>
    <row r="250">
      <c r="B250" s="13">
        <v>344.0</v>
      </c>
      <c r="C250" s="10" t="s">
        <v>332</v>
      </c>
      <c r="D250" s="10" t="s">
        <v>146</v>
      </c>
      <c r="E250" s="21"/>
      <c r="F250" s="13"/>
      <c r="G250" s="22"/>
    </row>
    <row r="251">
      <c r="B251" s="13">
        <v>345.0</v>
      </c>
      <c r="C251" s="10" t="s">
        <v>333</v>
      </c>
      <c r="D251" s="10" t="s">
        <v>146</v>
      </c>
      <c r="E251" s="21"/>
      <c r="F251" s="13"/>
      <c r="G251" s="22"/>
    </row>
    <row r="252">
      <c r="B252" s="13">
        <v>346.0</v>
      </c>
      <c r="C252" s="10" t="s">
        <v>334</v>
      </c>
      <c r="D252" s="10" t="s">
        <v>146</v>
      </c>
      <c r="E252" s="21"/>
      <c r="F252" s="13"/>
      <c r="G252" s="22"/>
    </row>
    <row r="253">
      <c r="B253" s="13">
        <v>347.0</v>
      </c>
      <c r="C253" s="10" t="s">
        <v>335</v>
      </c>
      <c r="D253" s="10" t="s">
        <v>146</v>
      </c>
      <c r="E253" s="21"/>
      <c r="F253" s="13"/>
      <c r="G253" s="22"/>
    </row>
    <row r="254">
      <c r="B254" s="13">
        <v>348.0</v>
      </c>
      <c r="C254" s="10" t="s">
        <v>336</v>
      </c>
      <c r="D254" s="10" t="s">
        <v>146</v>
      </c>
      <c r="E254" s="21"/>
      <c r="F254" s="13"/>
      <c r="G254" s="22"/>
    </row>
    <row r="255">
      <c r="B255" s="13">
        <v>349.0</v>
      </c>
      <c r="C255" s="10" t="s">
        <v>337</v>
      </c>
      <c r="D255" s="10" t="s">
        <v>146</v>
      </c>
      <c r="E255" s="21"/>
      <c r="F255" s="13"/>
      <c r="G255" s="22"/>
    </row>
    <row r="256">
      <c r="B256" s="13">
        <v>350.0</v>
      </c>
      <c r="C256" s="10" t="s">
        <v>338</v>
      </c>
      <c r="D256" s="10" t="s">
        <v>146</v>
      </c>
      <c r="E256" s="21"/>
      <c r="F256" s="13"/>
      <c r="G256" s="22"/>
    </row>
    <row r="257">
      <c r="B257" s="13">
        <v>351.0</v>
      </c>
      <c r="C257" s="10" t="s">
        <v>339</v>
      </c>
      <c r="D257" s="10" t="s">
        <v>146</v>
      </c>
      <c r="E257" s="21"/>
      <c r="F257" s="13"/>
      <c r="G257" s="22"/>
    </row>
    <row r="258">
      <c r="B258" s="13">
        <v>352.0</v>
      </c>
      <c r="C258" s="10" t="s">
        <v>340</v>
      </c>
      <c r="D258" s="10" t="s">
        <v>146</v>
      </c>
      <c r="E258" s="21"/>
      <c r="F258" s="13"/>
      <c r="G258" s="22"/>
    </row>
    <row r="259">
      <c r="B259" s="13">
        <v>353.0</v>
      </c>
      <c r="C259" s="10" t="s">
        <v>341</v>
      </c>
      <c r="D259" s="10" t="s">
        <v>146</v>
      </c>
      <c r="E259" s="21"/>
      <c r="F259" s="13"/>
      <c r="G259" s="22"/>
    </row>
    <row r="260">
      <c r="B260" s="13">
        <v>354.0</v>
      </c>
      <c r="C260" s="10" t="s">
        <v>342</v>
      </c>
      <c r="D260" s="10" t="s">
        <v>146</v>
      </c>
      <c r="E260" s="21"/>
      <c r="F260" s="13"/>
      <c r="G260" s="22"/>
    </row>
    <row r="261">
      <c r="B261" s="13">
        <v>355.0</v>
      </c>
      <c r="C261" s="10" t="s">
        <v>343</v>
      </c>
      <c r="D261" s="10" t="s">
        <v>146</v>
      </c>
      <c r="E261" s="21"/>
      <c r="F261" s="13"/>
      <c r="G261" s="22"/>
    </row>
    <row r="262">
      <c r="B262" s="13">
        <v>356.0</v>
      </c>
      <c r="C262" s="10" t="s">
        <v>344</v>
      </c>
      <c r="D262" s="10" t="s">
        <v>146</v>
      </c>
      <c r="E262" s="21"/>
      <c r="F262" s="13"/>
      <c r="G262" s="22"/>
    </row>
    <row r="263">
      <c r="B263" s="13">
        <v>357.0</v>
      </c>
      <c r="C263" s="10" t="s">
        <v>345</v>
      </c>
      <c r="D263" s="10" t="s">
        <v>146</v>
      </c>
      <c r="E263" s="21"/>
      <c r="F263" s="13"/>
      <c r="G263" s="22"/>
    </row>
    <row r="264">
      <c r="B264" s="13">
        <v>358.0</v>
      </c>
      <c r="C264" s="10" t="s">
        <v>346</v>
      </c>
      <c r="D264" s="10" t="s">
        <v>146</v>
      </c>
      <c r="E264" s="21"/>
      <c r="F264" s="13"/>
      <c r="G264" s="22"/>
    </row>
    <row r="265">
      <c r="B265" s="13">
        <v>359.0</v>
      </c>
      <c r="C265" s="10" t="s">
        <v>347</v>
      </c>
      <c r="D265" s="10" t="s">
        <v>146</v>
      </c>
      <c r="E265" s="21"/>
      <c r="F265" s="13"/>
      <c r="G265" s="22"/>
    </row>
    <row r="266">
      <c r="B266" s="13">
        <v>360.0</v>
      </c>
      <c r="C266" s="10" t="s">
        <v>348</v>
      </c>
      <c r="D266" s="10" t="s">
        <v>146</v>
      </c>
      <c r="E266" s="21"/>
      <c r="F266" s="13"/>
      <c r="G266" s="22"/>
    </row>
    <row r="267">
      <c r="B267" s="13">
        <v>361.0</v>
      </c>
      <c r="C267" s="10" t="s">
        <v>349</v>
      </c>
      <c r="D267" s="10" t="s">
        <v>152</v>
      </c>
      <c r="E267" s="21"/>
      <c r="F267" s="13"/>
      <c r="G267" s="22"/>
    </row>
    <row r="268">
      <c r="B268" s="13">
        <v>362.0</v>
      </c>
      <c r="C268" s="10" t="s">
        <v>350</v>
      </c>
      <c r="D268" s="10" t="s">
        <v>152</v>
      </c>
      <c r="E268" s="21"/>
      <c r="F268" s="13"/>
      <c r="G268" s="22"/>
    </row>
    <row r="269">
      <c r="B269" s="13">
        <v>363.0</v>
      </c>
      <c r="C269" s="10" t="s">
        <v>351</v>
      </c>
      <c r="D269" s="10" t="s">
        <v>152</v>
      </c>
      <c r="E269" s="21"/>
      <c r="F269" s="13"/>
      <c r="G269" s="22"/>
    </row>
    <row r="270">
      <c r="B270" s="13">
        <v>364.0</v>
      </c>
      <c r="C270" s="10" t="s">
        <v>352</v>
      </c>
      <c r="D270" s="10" t="s">
        <v>152</v>
      </c>
      <c r="E270" s="21"/>
      <c r="F270" s="13"/>
      <c r="G270" s="22"/>
    </row>
    <row r="271">
      <c r="B271" s="13">
        <v>365.0</v>
      </c>
      <c r="C271" s="10" t="s">
        <v>353</v>
      </c>
      <c r="D271" s="10" t="s">
        <v>152</v>
      </c>
      <c r="E271" s="21"/>
      <c r="F271" s="13"/>
      <c r="G271" s="22"/>
    </row>
    <row r="272">
      <c r="B272" s="13">
        <v>366.0</v>
      </c>
      <c r="C272" s="10" t="s">
        <v>354</v>
      </c>
      <c r="D272" s="10" t="s">
        <v>152</v>
      </c>
      <c r="E272" s="21"/>
      <c r="F272" s="13"/>
      <c r="G272" s="22"/>
    </row>
    <row r="273">
      <c r="B273" s="13">
        <v>367.0</v>
      </c>
      <c r="C273" s="10" t="s">
        <v>355</v>
      </c>
      <c r="D273" s="10" t="s">
        <v>152</v>
      </c>
      <c r="E273" s="21"/>
      <c r="F273" s="13"/>
      <c r="G273" s="22"/>
    </row>
    <row r="274">
      <c r="B274" s="13">
        <v>368.0</v>
      </c>
      <c r="C274" s="10" t="s">
        <v>356</v>
      </c>
      <c r="D274" s="10" t="s">
        <v>152</v>
      </c>
      <c r="E274" s="21"/>
      <c r="F274" s="13"/>
      <c r="G274" s="22"/>
    </row>
    <row r="275">
      <c r="B275" s="13">
        <v>369.0</v>
      </c>
      <c r="C275" s="10" t="s">
        <v>357</v>
      </c>
      <c r="D275" s="10" t="s">
        <v>152</v>
      </c>
      <c r="E275" s="21"/>
      <c r="F275" s="13"/>
      <c r="G275" s="22"/>
    </row>
    <row r="276">
      <c r="B276" s="13">
        <v>370.0</v>
      </c>
      <c r="C276" s="10" t="s">
        <v>358</v>
      </c>
      <c r="D276" s="10" t="s">
        <v>161</v>
      </c>
      <c r="E276" s="21"/>
      <c r="F276" s="13"/>
      <c r="G276" s="22"/>
    </row>
    <row r="277">
      <c r="B277" s="13">
        <v>371.0</v>
      </c>
      <c r="C277" s="10" t="s">
        <v>359</v>
      </c>
      <c r="D277" s="10" t="s">
        <v>161</v>
      </c>
      <c r="E277" s="21"/>
      <c r="F277" s="13"/>
      <c r="G277" s="22"/>
    </row>
    <row r="278">
      <c r="B278" s="13">
        <v>372.0</v>
      </c>
      <c r="C278" s="10" t="s">
        <v>360</v>
      </c>
      <c r="D278" s="10" t="s">
        <v>161</v>
      </c>
      <c r="E278" s="21"/>
      <c r="F278" s="13"/>
      <c r="G278" s="22"/>
    </row>
    <row r="279">
      <c r="B279" s="13">
        <v>373.0</v>
      </c>
      <c r="C279" s="10" t="s">
        <v>361</v>
      </c>
      <c r="D279" s="10" t="s">
        <v>161</v>
      </c>
      <c r="E279" s="21"/>
      <c r="F279" s="13"/>
      <c r="G279" s="22"/>
    </row>
    <row r="280">
      <c r="B280" s="13">
        <v>374.0</v>
      </c>
      <c r="C280" s="10" t="s">
        <v>362</v>
      </c>
      <c r="D280" s="10" t="s">
        <v>161</v>
      </c>
      <c r="E280" s="21"/>
      <c r="F280" s="13"/>
      <c r="G280" s="22"/>
    </row>
    <row r="281">
      <c r="B281" s="13">
        <v>375.0</v>
      </c>
      <c r="C281" s="10" t="s">
        <v>363</v>
      </c>
      <c r="D281" s="10" t="s">
        <v>161</v>
      </c>
      <c r="E281" s="21"/>
      <c r="F281" s="13"/>
      <c r="G281" s="22"/>
    </row>
    <row r="282">
      <c r="B282" s="13">
        <v>376.0</v>
      </c>
      <c r="C282" s="10" t="s">
        <v>364</v>
      </c>
      <c r="D282" s="10" t="s">
        <v>161</v>
      </c>
      <c r="E282" s="21"/>
      <c r="F282" s="13"/>
      <c r="G282" s="22"/>
    </row>
    <row r="283">
      <c r="B283" s="13">
        <v>377.0</v>
      </c>
      <c r="C283" s="10" t="s">
        <v>365</v>
      </c>
      <c r="D283" s="10" t="s">
        <v>161</v>
      </c>
      <c r="E283" s="21"/>
      <c r="F283" s="13"/>
      <c r="G283" s="22"/>
    </row>
    <row r="284">
      <c r="B284" s="13">
        <v>378.0</v>
      </c>
      <c r="C284" s="10" t="s">
        <v>366</v>
      </c>
      <c r="D284" s="10" t="s">
        <v>161</v>
      </c>
      <c r="E284" s="21"/>
      <c r="F284" s="13"/>
      <c r="G284" s="22"/>
    </row>
    <row r="285">
      <c r="B285" s="13">
        <v>379.0</v>
      </c>
      <c r="C285" s="10" t="s">
        <v>367</v>
      </c>
      <c r="D285" s="10" t="s">
        <v>161</v>
      </c>
      <c r="E285" s="21"/>
      <c r="F285" s="13"/>
      <c r="G285" s="22"/>
    </row>
    <row r="286">
      <c r="B286" s="13">
        <v>380.0</v>
      </c>
      <c r="C286" s="10" t="s">
        <v>368</v>
      </c>
      <c r="D286" s="10" t="s">
        <v>161</v>
      </c>
      <c r="E286" s="21"/>
      <c r="F286" s="13"/>
      <c r="G286" s="22"/>
    </row>
    <row r="287">
      <c r="B287" s="13">
        <v>381.0</v>
      </c>
      <c r="C287" s="10" t="s">
        <v>369</v>
      </c>
      <c r="D287" s="10" t="s">
        <v>161</v>
      </c>
      <c r="E287" s="21"/>
      <c r="F287" s="13"/>
      <c r="G287" s="22"/>
    </row>
    <row r="288">
      <c r="B288" s="13">
        <v>382.0</v>
      </c>
      <c r="C288" s="10" t="s">
        <v>370</v>
      </c>
      <c r="D288" s="10" t="s">
        <v>161</v>
      </c>
      <c r="E288" s="21"/>
      <c r="F288" s="13"/>
      <c r="G288" s="22"/>
    </row>
    <row r="289">
      <c r="B289" s="13">
        <v>383.0</v>
      </c>
      <c r="C289" s="10" t="s">
        <v>371</v>
      </c>
      <c r="D289" s="10" t="s">
        <v>172</v>
      </c>
      <c r="E289" s="21"/>
      <c r="F289" s="13"/>
      <c r="G289" s="22"/>
    </row>
    <row r="290">
      <c r="B290" s="13">
        <v>384.0</v>
      </c>
      <c r="C290" s="10" t="s">
        <v>372</v>
      </c>
      <c r="D290" s="10" t="s">
        <v>172</v>
      </c>
      <c r="E290" s="21"/>
      <c r="F290" s="13"/>
      <c r="G290" s="22"/>
    </row>
    <row r="291">
      <c r="B291" s="13">
        <v>385.0</v>
      </c>
      <c r="C291" s="10" t="s">
        <v>373</v>
      </c>
      <c r="D291" s="10" t="s">
        <v>172</v>
      </c>
      <c r="E291" s="21"/>
      <c r="F291" s="13"/>
      <c r="G291" s="22"/>
    </row>
    <row r="292">
      <c r="B292" s="13">
        <v>386.0</v>
      </c>
      <c r="C292" s="10" t="s">
        <v>374</v>
      </c>
      <c r="D292" s="10" t="s">
        <v>172</v>
      </c>
      <c r="E292" s="21"/>
      <c r="F292" s="13"/>
      <c r="G292" s="22"/>
    </row>
    <row r="293">
      <c r="B293" s="13">
        <v>387.0</v>
      </c>
      <c r="C293" s="10" t="s">
        <v>375</v>
      </c>
      <c r="D293" s="10" t="s">
        <v>172</v>
      </c>
      <c r="E293" s="21"/>
      <c r="F293" s="13"/>
      <c r="G293" s="22"/>
    </row>
    <row r="294">
      <c r="B294" s="13">
        <v>388.0</v>
      </c>
      <c r="C294" s="10" t="s">
        <v>376</v>
      </c>
      <c r="D294" s="10" t="s">
        <v>172</v>
      </c>
      <c r="E294" s="21"/>
      <c r="F294" s="13"/>
      <c r="G294" s="22"/>
    </row>
    <row r="295">
      <c r="B295" s="13">
        <v>389.0</v>
      </c>
      <c r="C295" s="10" t="s">
        <v>377</v>
      </c>
      <c r="D295" s="10" t="s">
        <v>172</v>
      </c>
      <c r="E295" s="21"/>
      <c r="F295" s="13"/>
      <c r="G295" s="22"/>
    </row>
    <row r="296">
      <c r="B296" s="13">
        <v>390.0</v>
      </c>
      <c r="C296" s="10" t="s">
        <v>378</v>
      </c>
      <c r="D296" s="10" t="s">
        <v>172</v>
      </c>
      <c r="E296" s="21"/>
      <c r="F296" s="13"/>
      <c r="G296" s="22"/>
    </row>
    <row r="297">
      <c r="B297" s="13">
        <v>391.0</v>
      </c>
      <c r="C297" s="10" t="s">
        <v>379</v>
      </c>
      <c r="D297" s="10" t="s">
        <v>172</v>
      </c>
      <c r="E297" s="21"/>
      <c r="F297" s="13"/>
      <c r="G297" s="22"/>
    </row>
    <row r="298">
      <c r="B298" s="13">
        <v>392.0</v>
      </c>
      <c r="C298" s="10" t="s">
        <v>380</v>
      </c>
      <c r="D298" s="10" t="s">
        <v>172</v>
      </c>
      <c r="E298" s="21"/>
      <c r="F298" s="13"/>
      <c r="G298" s="22"/>
    </row>
    <row r="299">
      <c r="B299" s="13">
        <v>393.0</v>
      </c>
      <c r="C299" s="10" t="s">
        <v>381</v>
      </c>
      <c r="D299" s="10" t="s">
        <v>172</v>
      </c>
      <c r="E299" s="21"/>
      <c r="F299" s="13"/>
      <c r="G299" s="22"/>
    </row>
    <row r="300">
      <c r="B300" s="13">
        <v>394.0</v>
      </c>
      <c r="C300" s="10" t="s">
        <v>382</v>
      </c>
      <c r="D300" s="10" t="s">
        <v>172</v>
      </c>
      <c r="E300" s="21"/>
      <c r="F300" s="13"/>
      <c r="G300" s="22"/>
    </row>
  </sheetData>
  <dataValidations>
    <dataValidation type="list" allowBlank="1" sqref="D6:D300">
      <formula1>"Playgroup,PP1,PP2,Grade 1,Grade 2,Grade 3,Grade 4,Grade 5,Grade 6,Grade 7,Grade 8,Grade 9"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18.88"/>
    <col customWidth="1" min="4" max="4" width="22.63"/>
  </cols>
  <sheetData>
    <row r="2">
      <c r="B2" s="1" t="s">
        <v>2</v>
      </c>
    </row>
    <row r="4" ht="22.5" customHeight="1">
      <c r="B4" s="14" t="s">
        <v>7</v>
      </c>
      <c r="C4" s="14" t="s">
        <v>28</v>
      </c>
      <c r="D4" s="14" t="s">
        <v>30</v>
      </c>
    </row>
    <row r="5" ht="22.5" customHeight="1">
      <c r="B5" s="18" t="s">
        <v>37</v>
      </c>
      <c r="C5" s="20">
        <f>COUNTIF('Data Entry'!D:D, B5)</f>
        <v>27</v>
      </c>
      <c r="D5" s="23">
        <f>SUMIF('Data Entry'!D:D, B5, 'Data Entry'!E:E)</f>
        <v>0</v>
      </c>
    </row>
    <row r="6" ht="22.5" customHeight="1">
      <c r="B6" s="18" t="s">
        <v>67</v>
      </c>
      <c r="C6" s="20">
        <f>COUNTIF('Data Entry'!D:D, B6)</f>
        <v>40</v>
      </c>
      <c r="D6" s="23">
        <f>SUMIF('Data Entry'!D:D, B6, 'Data Entry'!E:E)</f>
        <v>0</v>
      </c>
    </row>
    <row r="7" ht="22.5" customHeight="1">
      <c r="B7" s="18" t="s">
        <v>80</v>
      </c>
      <c r="C7" s="20">
        <f>COUNTIF('Data Entry'!D:D, B7)</f>
        <v>35</v>
      </c>
      <c r="D7" s="23">
        <f>SUMIF('Data Entry'!D:D, B7, 'Data Entry'!E:E)</f>
        <v>0</v>
      </c>
    </row>
    <row r="8" ht="22.5" customHeight="1">
      <c r="B8" s="18" t="s">
        <v>102</v>
      </c>
      <c r="C8" s="20">
        <f>COUNTIF('Data Entry'!D:D, B8)</f>
        <v>32</v>
      </c>
      <c r="D8" s="23">
        <f>SUMIF('Data Entry'!D:D, B8, 'Data Entry'!E:E)</f>
        <v>0</v>
      </c>
    </row>
    <row r="9" ht="22.5" customHeight="1">
      <c r="B9" s="18" t="s">
        <v>111</v>
      </c>
      <c r="C9" s="20">
        <f>COUNTIF('Data Entry'!D:D, B9)</f>
        <v>23</v>
      </c>
      <c r="D9" s="23">
        <f>SUMIF('Data Entry'!D:D, B9, 'Data Entry'!E:E)</f>
        <v>0</v>
      </c>
    </row>
    <row r="10" ht="22.5" customHeight="1">
      <c r="B10" s="18" t="s">
        <v>121</v>
      </c>
      <c r="C10" s="20">
        <f>COUNTIF('Data Entry'!D:D, B10)</f>
        <v>29</v>
      </c>
      <c r="D10" s="23">
        <f>SUMIF('Data Entry'!D:D, B10, 'Data Entry'!E:E)</f>
        <v>0</v>
      </c>
    </row>
    <row r="11" ht="22.5" customHeight="1">
      <c r="B11" s="18" t="s">
        <v>129</v>
      </c>
      <c r="C11" s="20">
        <f>COUNTIF('Data Entry'!D:D, B11)</f>
        <v>28</v>
      </c>
      <c r="D11" s="23">
        <f>SUMIF('Data Entry'!D:D, B11, 'Data Entry'!E:E)</f>
        <v>0</v>
      </c>
    </row>
    <row r="12" ht="22.5" customHeight="1">
      <c r="B12" s="18" t="s">
        <v>139</v>
      </c>
      <c r="C12" s="20">
        <f>COUNTIF('Data Entry'!D:D, B12)</f>
        <v>27</v>
      </c>
      <c r="D12" s="23">
        <f>SUMIF('Data Entry'!D:D, B12, 'Data Entry'!E:E)</f>
        <v>0</v>
      </c>
    </row>
    <row r="13" ht="22.5" customHeight="1">
      <c r="B13" s="18" t="s">
        <v>146</v>
      </c>
      <c r="C13" s="20">
        <f>COUNTIF('Data Entry'!D:D, B13)</f>
        <v>20</v>
      </c>
      <c r="D13" s="23">
        <f>SUMIF('Data Entry'!D:D, B13, 'Data Entry'!E:E)</f>
        <v>0</v>
      </c>
    </row>
    <row r="14" ht="22.5" customHeight="1">
      <c r="B14" s="18" t="s">
        <v>152</v>
      </c>
      <c r="C14" s="20">
        <f>COUNTIF('Data Entry'!D:D, B14)</f>
        <v>9</v>
      </c>
      <c r="D14" s="23">
        <f>SUMIF('Data Entry'!D:D, B14, 'Data Entry'!E:E)</f>
        <v>0</v>
      </c>
    </row>
    <row r="15" ht="22.5" customHeight="1">
      <c r="B15" s="18" t="s">
        <v>161</v>
      </c>
      <c r="C15" s="20">
        <f>COUNTIF('Data Entry'!D:D, B15)</f>
        <v>13</v>
      </c>
      <c r="D15" s="23">
        <f>SUMIF('Data Entry'!D:D, B15, 'Data Entry'!E:E)</f>
        <v>0</v>
      </c>
    </row>
    <row r="16" ht="22.5" customHeight="1">
      <c r="B16" s="18" t="s">
        <v>172</v>
      </c>
      <c r="C16" s="20">
        <f>COUNTIF('Data Entry'!D:D, B16)</f>
        <v>12</v>
      </c>
      <c r="D16" s="23">
        <f>SUMIF('Data Entry'!D:D, B16, 'Data Entry'!E:E)</f>
        <v>0</v>
      </c>
    </row>
  </sheetData>
  <dataValidations>
    <dataValidation type="custom" allowBlank="1" showDropDown="1" sqref="D5:D16">
      <formula1>AND(ISNUMBER(D5),(NOT(OR(NOT(ISERROR(DATEVALUE(D5))), AND(ISNUMBER(D5), LEFT(CELL("format", D5))="D")))))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9.0"/>
    <col customWidth="1" min="3" max="3" width="8.25"/>
    <col customWidth="1" min="4" max="4" width="15.38"/>
    <col customWidth="1" min="5" max="5" width="6.38"/>
    <col customWidth="1" min="6" max="6" width="10.0"/>
    <col customWidth="1" min="7" max="7" width="23.13"/>
    <col customWidth="1" min="8" max="8" width="15.63"/>
    <col customWidth="1" min="9" max="9" width="13.75"/>
    <col customWidth="1" min="10" max="10" width="9.63"/>
    <col customWidth="1" min="11" max="11" width="5.63"/>
  </cols>
  <sheetData>
    <row r="2">
      <c r="B2" s="2" t="s">
        <v>1</v>
      </c>
    </row>
    <row r="3">
      <c r="B3" s="4" t="s">
        <v>5</v>
      </c>
      <c r="C3" s="4">
        <f>COUNTA(B6:B105)</f>
        <v>20</v>
      </c>
      <c r="D3" s="4"/>
      <c r="E3" s="4"/>
      <c r="F3" s="4"/>
      <c r="G3" s="4"/>
      <c r="H3" s="4"/>
      <c r="I3" s="4"/>
      <c r="J3" s="4"/>
      <c r="K3" s="4"/>
    </row>
    <row r="5"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10" t="s">
        <v>16</v>
      </c>
      <c r="I5" s="10" t="s">
        <v>17</v>
      </c>
      <c r="J5" s="10" t="s">
        <v>19</v>
      </c>
      <c r="K5" s="10" t="s">
        <v>20</v>
      </c>
    </row>
    <row r="6">
      <c r="B6" s="10">
        <v>1.0</v>
      </c>
      <c r="C6" s="10">
        <v>1.2460817E7</v>
      </c>
      <c r="D6" s="10" t="s">
        <v>21</v>
      </c>
      <c r="E6" s="13"/>
      <c r="F6" s="15" t="s">
        <v>27</v>
      </c>
      <c r="G6" s="10" t="s">
        <v>29</v>
      </c>
      <c r="H6" s="13"/>
      <c r="I6" s="13"/>
      <c r="J6" s="17"/>
      <c r="K6" s="13"/>
    </row>
    <row r="7">
      <c r="B7" s="10">
        <v>2.0</v>
      </c>
      <c r="C7" s="10">
        <v>8130256.0</v>
      </c>
      <c r="D7" s="10" t="s">
        <v>38</v>
      </c>
      <c r="E7" s="13"/>
      <c r="F7" s="15" t="s">
        <v>39</v>
      </c>
      <c r="G7" s="10" t="s">
        <v>29</v>
      </c>
      <c r="H7" s="13"/>
      <c r="I7" s="13"/>
      <c r="J7" s="17"/>
      <c r="K7" s="13"/>
    </row>
    <row r="8">
      <c r="B8" s="10">
        <v>3.0</v>
      </c>
      <c r="C8" s="10" t="s">
        <v>40</v>
      </c>
      <c r="D8" s="10" t="s">
        <v>41</v>
      </c>
      <c r="E8" s="13"/>
      <c r="F8" s="15" t="s">
        <v>42</v>
      </c>
      <c r="G8" s="10" t="s">
        <v>43</v>
      </c>
      <c r="H8" s="13"/>
      <c r="I8" s="13"/>
      <c r="J8" s="17"/>
      <c r="K8" s="13"/>
    </row>
    <row r="9">
      <c r="B9" s="10">
        <v>4.0</v>
      </c>
      <c r="C9" s="10">
        <v>3.6882511E7</v>
      </c>
      <c r="D9" s="10" t="s">
        <v>44</v>
      </c>
      <c r="E9" s="13"/>
      <c r="F9" s="15" t="s">
        <v>45</v>
      </c>
      <c r="G9" s="10" t="s">
        <v>43</v>
      </c>
      <c r="H9" s="13"/>
      <c r="I9" s="13"/>
      <c r="J9" s="17"/>
      <c r="K9" s="13"/>
    </row>
    <row r="10">
      <c r="B10" s="10">
        <v>5.0</v>
      </c>
      <c r="C10" s="10">
        <v>3.8871014E7</v>
      </c>
      <c r="D10" s="10" t="s">
        <v>46</v>
      </c>
      <c r="E10" s="13"/>
      <c r="F10" s="15" t="s">
        <v>47</v>
      </c>
      <c r="G10" s="10" t="s">
        <v>43</v>
      </c>
      <c r="H10" s="13"/>
      <c r="I10" s="13"/>
      <c r="J10" s="17"/>
      <c r="K10" s="13"/>
    </row>
    <row r="11">
      <c r="B11" s="10">
        <v>6.0</v>
      </c>
      <c r="C11" s="10">
        <v>4.0036701E7</v>
      </c>
      <c r="D11" s="10" t="s">
        <v>48</v>
      </c>
      <c r="E11" s="13"/>
      <c r="F11" s="15" t="s">
        <v>49</v>
      </c>
      <c r="G11" s="10" t="s">
        <v>43</v>
      </c>
      <c r="H11" s="13"/>
      <c r="I11" s="13"/>
      <c r="J11" s="17"/>
      <c r="K11" s="13"/>
    </row>
    <row r="12">
      <c r="B12" s="10">
        <v>7.0</v>
      </c>
      <c r="C12" s="10">
        <v>4.0068298E7</v>
      </c>
      <c r="D12" s="10" t="s">
        <v>51</v>
      </c>
      <c r="E12" s="13"/>
      <c r="F12" s="15" t="s">
        <v>52</v>
      </c>
      <c r="G12" s="10" t="s">
        <v>43</v>
      </c>
      <c r="H12" s="13"/>
      <c r="I12" s="13"/>
      <c r="J12" s="17"/>
      <c r="K12" s="13"/>
    </row>
    <row r="13">
      <c r="B13" s="10">
        <v>8.0</v>
      </c>
      <c r="C13" s="10">
        <v>4.1145875E7</v>
      </c>
      <c r="D13" s="10" t="s">
        <v>53</v>
      </c>
      <c r="E13" s="13"/>
      <c r="F13" s="15" t="s">
        <v>54</v>
      </c>
      <c r="G13" s="10" t="s">
        <v>43</v>
      </c>
      <c r="H13" s="13"/>
      <c r="I13" s="13"/>
      <c r="J13" s="17"/>
      <c r="K13" s="13"/>
    </row>
    <row r="14">
      <c r="B14" s="10">
        <v>9.0</v>
      </c>
      <c r="C14" s="10">
        <v>3.6602106E7</v>
      </c>
      <c r="D14" s="10" t="s">
        <v>55</v>
      </c>
      <c r="E14" s="13"/>
      <c r="F14" s="15" t="s">
        <v>57</v>
      </c>
      <c r="G14" s="10" t="s">
        <v>43</v>
      </c>
      <c r="H14" s="13"/>
      <c r="I14" s="13"/>
      <c r="J14" s="17"/>
      <c r="K14" s="13"/>
    </row>
    <row r="15">
      <c r="B15" s="10">
        <v>10.0</v>
      </c>
      <c r="C15" s="10" t="s">
        <v>40</v>
      </c>
      <c r="D15" s="10" t="s">
        <v>59</v>
      </c>
      <c r="E15" s="13"/>
      <c r="F15" s="15" t="s">
        <v>60</v>
      </c>
      <c r="G15" s="10" t="s">
        <v>43</v>
      </c>
      <c r="H15" s="13"/>
      <c r="I15" s="13"/>
      <c r="J15" s="17"/>
      <c r="K15" s="13"/>
    </row>
    <row r="16">
      <c r="B16" s="10">
        <v>11.0</v>
      </c>
      <c r="C16" s="10" t="s">
        <v>40</v>
      </c>
      <c r="D16" s="10" t="s">
        <v>63</v>
      </c>
      <c r="E16" s="13"/>
      <c r="F16" s="15" t="s">
        <v>65</v>
      </c>
      <c r="G16" s="10" t="s">
        <v>43</v>
      </c>
      <c r="H16" s="13"/>
      <c r="I16" s="13"/>
      <c r="J16" s="17"/>
      <c r="K16" s="13"/>
    </row>
    <row r="17">
      <c r="B17" s="10">
        <v>12.0</v>
      </c>
      <c r="C17" s="10" t="s">
        <v>40</v>
      </c>
      <c r="D17" s="10" t="s">
        <v>68</v>
      </c>
      <c r="E17" s="13"/>
      <c r="F17" s="15" t="s">
        <v>69</v>
      </c>
      <c r="G17" s="10" t="s">
        <v>43</v>
      </c>
      <c r="H17" s="13"/>
      <c r="I17" s="13"/>
      <c r="J17" s="17"/>
      <c r="K17" s="13"/>
    </row>
    <row r="18">
      <c r="B18" s="10">
        <v>13.0</v>
      </c>
      <c r="C18" s="10" t="s">
        <v>40</v>
      </c>
      <c r="D18" s="10" t="s">
        <v>71</v>
      </c>
      <c r="E18" s="13"/>
      <c r="F18" s="15" t="s">
        <v>72</v>
      </c>
      <c r="G18" s="10" t="s">
        <v>43</v>
      </c>
      <c r="H18" s="13"/>
      <c r="I18" s="13"/>
      <c r="J18" s="17"/>
      <c r="K18" s="13"/>
    </row>
    <row r="19">
      <c r="B19" s="10">
        <v>14.0</v>
      </c>
      <c r="C19" s="10" t="s">
        <v>40</v>
      </c>
      <c r="D19" s="10" t="s">
        <v>75</v>
      </c>
      <c r="E19" s="13"/>
      <c r="F19" s="15" t="s">
        <v>40</v>
      </c>
      <c r="G19" s="10" t="s">
        <v>43</v>
      </c>
      <c r="H19" s="13"/>
      <c r="I19" s="13"/>
      <c r="J19" s="17"/>
      <c r="K19" s="13"/>
    </row>
    <row r="20">
      <c r="B20" s="10">
        <v>15.0</v>
      </c>
      <c r="C20" s="10" t="s">
        <v>40</v>
      </c>
      <c r="D20" s="10" t="s">
        <v>82</v>
      </c>
      <c r="E20" s="13"/>
      <c r="F20" s="15" t="s">
        <v>83</v>
      </c>
      <c r="G20" s="10" t="s">
        <v>43</v>
      </c>
      <c r="H20" s="13"/>
      <c r="I20" s="13"/>
      <c r="J20" s="17"/>
      <c r="K20" s="13"/>
    </row>
    <row r="21">
      <c r="B21" s="10">
        <v>16.0</v>
      </c>
      <c r="C21" s="10" t="s">
        <v>40</v>
      </c>
      <c r="D21" s="10" t="s">
        <v>86</v>
      </c>
      <c r="E21" s="13"/>
      <c r="F21" s="15" t="s">
        <v>40</v>
      </c>
      <c r="G21" s="10" t="s">
        <v>87</v>
      </c>
      <c r="H21" s="13"/>
      <c r="I21" s="13"/>
      <c r="J21" s="17"/>
      <c r="K21" s="13"/>
    </row>
    <row r="22">
      <c r="B22" s="10">
        <v>17.0</v>
      </c>
      <c r="C22" s="10">
        <v>3976544.0</v>
      </c>
      <c r="D22" s="10" t="s">
        <v>91</v>
      </c>
      <c r="E22" s="13"/>
      <c r="F22" s="15" t="s">
        <v>93</v>
      </c>
      <c r="G22" s="10" t="s">
        <v>87</v>
      </c>
      <c r="H22" s="13"/>
      <c r="I22" s="13"/>
      <c r="J22" s="17"/>
      <c r="K22" s="13"/>
    </row>
    <row r="23">
      <c r="B23" s="10">
        <v>18.0</v>
      </c>
      <c r="C23" s="10" t="s">
        <v>40</v>
      </c>
      <c r="D23" s="10" t="s">
        <v>95</v>
      </c>
      <c r="E23" s="13"/>
      <c r="F23" s="15" t="s">
        <v>97</v>
      </c>
      <c r="G23" s="10" t="s">
        <v>87</v>
      </c>
      <c r="H23" s="13"/>
      <c r="I23" s="13"/>
      <c r="J23" s="17"/>
      <c r="K23" s="13"/>
    </row>
    <row r="24">
      <c r="B24" s="10">
        <v>19.0</v>
      </c>
      <c r="C24" s="10" t="s">
        <v>40</v>
      </c>
      <c r="D24" s="10" t="s">
        <v>99</v>
      </c>
      <c r="E24" s="13"/>
      <c r="F24" s="15" t="s">
        <v>100</v>
      </c>
      <c r="G24" s="10" t="s">
        <v>87</v>
      </c>
      <c r="H24" s="13"/>
      <c r="I24" s="13"/>
      <c r="J24" s="17"/>
      <c r="K24" s="13"/>
    </row>
    <row r="25">
      <c r="B25" s="10">
        <v>20.0</v>
      </c>
      <c r="C25" s="10" t="s">
        <v>40</v>
      </c>
      <c r="D25" s="10" t="s">
        <v>106</v>
      </c>
      <c r="E25" s="13"/>
      <c r="F25" s="15" t="s">
        <v>40</v>
      </c>
      <c r="G25" s="10" t="s">
        <v>87</v>
      </c>
      <c r="H25" s="13"/>
      <c r="I25" s="13"/>
      <c r="J25" s="17"/>
      <c r="K25" s="13"/>
    </row>
    <row r="26">
      <c r="B26" s="13"/>
      <c r="C26" s="13"/>
      <c r="D26" s="13"/>
      <c r="E26" s="13"/>
      <c r="F26" s="25"/>
      <c r="G26" s="13"/>
      <c r="H26" s="13"/>
      <c r="I26" s="13"/>
      <c r="J26" s="17"/>
      <c r="K26" s="13"/>
    </row>
    <row r="27">
      <c r="B27" s="13"/>
      <c r="C27" s="13"/>
      <c r="D27" s="13"/>
      <c r="E27" s="13"/>
      <c r="F27" s="25"/>
      <c r="G27" s="13"/>
      <c r="H27" s="13"/>
      <c r="I27" s="13"/>
      <c r="J27" s="17"/>
      <c r="K27" s="13"/>
    </row>
    <row r="28">
      <c r="B28" s="13"/>
      <c r="C28" s="13"/>
      <c r="D28" s="13"/>
      <c r="E28" s="13"/>
      <c r="F28" s="25"/>
      <c r="G28" s="13"/>
      <c r="H28" s="13"/>
      <c r="I28" s="13"/>
      <c r="J28" s="17"/>
      <c r="K28" s="13"/>
    </row>
    <row r="29">
      <c r="B29" s="13"/>
      <c r="C29" s="13"/>
      <c r="D29" s="13"/>
      <c r="E29" s="13"/>
      <c r="F29" s="25"/>
      <c r="G29" s="13"/>
      <c r="H29" s="13"/>
      <c r="I29" s="13"/>
      <c r="J29" s="17"/>
      <c r="K29" s="13"/>
    </row>
    <row r="30">
      <c r="B30" s="13"/>
      <c r="C30" s="13"/>
      <c r="D30" s="13"/>
      <c r="E30" s="13"/>
      <c r="F30" s="25"/>
      <c r="G30" s="13"/>
      <c r="H30" s="13"/>
      <c r="I30" s="13"/>
      <c r="J30" s="17"/>
      <c r="K30" s="13"/>
    </row>
    <row r="31">
      <c r="B31" s="13"/>
      <c r="C31" s="13"/>
      <c r="D31" s="13"/>
      <c r="E31" s="13"/>
      <c r="F31" s="25"/>
      <c r="G31" s="13"/>
      <c r="H31" s="13"/>
      <c r="I31" s="13"/>
      <c r="J31" s="17"/>
      <c r="K31" s="13"/>
    </row>
    <row r="32">
      <c r="B32" s="13"/>
      <c r="C32" s="13"/>
      <c r="D32" s="13"/>
      <c r="E32" s="13"/>
      <c r="F32" s="25"/>
      <c r="G32" s="13"/>
      <c r="H32" s="13"/>
      <c r="I32" s="13"/>
      <c r="J32" s="17"/>
      <c r="K32" s="13"/>
    </row>
    <row r="33">
      <c r="B33" s="13"/>
      <c r="C33" s="13"/>
      <c r="D33" s="13"/>
      <c r="E33" s="13"/>
      <c r="F33" s="25"/>
      <c r="G33" s="13"/>
      <c r="H33" s="13"/>
      <c r="I33" s="13"/>
      <c r="J33" s="17"/>
      <c r="K33" s="13"/>
    </row>
    <row r="34">
      <c r="B34" s="13"/>
      <c r="C34" s="13"/>
      <c r="D34" s="13"/>
      <c r="E34" s="13"/>
      <c r="F34" s="25"/>
      <c r="G34" s="13"/>
      <c r="H34" s="13"/>
      <c r="I34" s="13"/>
      <c r="J34" s="17"/>
      <c r="K34" s="13"/>
    </row>
    <row r="35">
      <c r="B35" s="13"/>
      <c r="C35" s="13"/>
      <c r="D35" s="13"/>
      <c r="E35" s="13"/>
      <c r="F35" s="25"/>
      <c r="G35" s="13"/>
      <c r="H35" s="13"/>
      <c r="I35" s="13"/>
      <c r="J35" s="17"/>
      <c r="K35" s="13"/>
    </row>
    <row r="36">
      <c r="B36" s="13"/>
      <c r="C36" s="13"/>
      <c r="D36" s="13"/>
      <c r="E36" s="13"/>
      <c r="F36" s="25"/>
      <c r="G36" s="13"/>
      <c r="H36" s="13"/>
      <c r="I36" s="13"/>
      <c r="J36" s="17"/>
      <c r="K36" s="13"/>
    </row>
    <row r="37">
      <c r="B37" s="13"/>
      <c r="C37" s="13"/>
      <c r="D37" s="13"/>
      <c r="E37" s="13"/>
      <c r="F37" s="25"/>
      <c r="G37" s="13"/>
      <c r="H37" s="13"/>
      <c r="I37" s="13"/>
      <c r="J37" s="17"/>
      <c r="K37" s="13"/>
    </row>
    <row r="38">
      <c r="B38" s="13"/>
      <c r="C38" s="13"/>
      <c r="D38" s="13"/>
      <c r="E38" s="13"/>
      <c r="F38" s="25"/>
      <c r="G38" s="13"/>
      <c r="H38" s="13"/>
      <c r="I38" s="13"/>
      <c r="J38" s="17"/>
      <c r="K38" s="13"/>
    </row>
    <row r="39">
      <c r="B39" s="13"/>
      <c r="C39" s="13"/>
      <c r="D39" s="13"/>
      <c r="E39" s="13"/>
      <c r="F39" s="25"/>
      <c r="G39" s="13"/>
      <c r="H39" s="13"/>
      <c r="I39" s="13"/>
      <c r="J39" s="17"/>
      <c r="K39" s="13"/>
    </row>
    <row r="40">
      <c r="B40" s="13"/>
      <c r="C40" s="13"/>
      <c r="D40" s="13"/>
      <c r="E40" s="13"/>
      <c r="F40" s="25"/>
      <c r="G40" s="13"/>
      <c r="H40" s="13"/>
      <c r="I40" s="13"/>
      <c r="J40" s="17"/>
      <c r="K40" s="13"/>
    </row>
    <row r="41">
      <c r="B41" s="13"/>
      <c r="C41" s="13"/>
      <c r="D41" s="13"/>
      <c r="E41" s="13"/>
      <c r="F41" s="25"/>
      <c r="G41" s="13"/>
      <c r="H41" s="13"/>
      <c r="I41" s="13"/>
      <c r="J41" s="17"/>
      <c r="K41" s="13"/>
    </row>
    <row r="42">
      <c r="B42" s="13"/>
      <c r="C42" s="13"/>
      <c r="D42" s="13"/>
      <c r="E42" s="13"/>
      <c r="F42" s="25"/>
      <c r="G42" s="13"/>
      <c r="H42" s="13"/>
      <c r="I42" s="13"/>
      <c r="J42" s="17"/>
      <c r="K42" s="13"/>
    </row>
    <row r="43">
      <c r="B43" s="13"/>
      <c r="C43" s="13"/>
      <c r="D43" s="13"/>
      <c r="E43" s="13"/>
      <c r="F43" s="25"/>
      <c r="G43" s="13"/>
      <c r="H43" s="13"/>
      <c r="I43" s="13"/>
      <c r="J43" s="17"/>
      <c r="K43" s="13"/>
    </row>
    <row r="44">
      <c r="B44" s="13"/>
      <c r="C44" s="13"/>
      <c r="D44" s="13"/>
      <c r="E44" s="13"/>
      <c r="F44" s="25"/>
      <c r="G44" s="13"/>
      <c r="H44" s="13"/>
      <c r="I44" s="13"/>
      <c r="J44" s="17"/>
      <c r="K44" s="13"/>
    </row>
    <row r="45">
      <c r="B45" s="13"/>
      <c r="C45" s="13"/>
      <c r="D45" s="13"/>
      <c r="E45" s="13"/>
      <c r="F45" s="25"/>
      <c r="G45" s="13"/>
      <c r="H45" s="13"/>
      <c r="I45" s="13"/>
      <c r="J45" s="17"/>
      <c r="K45" s="13"/>
    </row>
    <row r="46">
      <c r="B46" s="13"/>
      <c r="C46" s="13"/>
      <c r="D46" s="13"/>
      <c r="E46" s="13"/>
      <c r="F46" s="25"/>
      <c r="G46" s="13"/>
      <c r="H46" s="13"/>
      <c r="I46" s="13"/>
      <c r="J46" s="17"/>
      <c r="K46" s="13"/>
    </row>
    <row r="47">
      <c r="B47" s="13"/>
      <c r="C47" s="13"/>
      <c r="D47" s="13"/>
      <c r="E47" s="13"/>
      <c r="F47" s="25"/>
      <c r="G47" s="13"/>
      <c r="H47" s="13"/>
      <c r="I47" s="13"/>
      <c r="J47" s="17"/>
      <c r="K47" s="13"/>
    </row>
    <row r="48">
      <c r="B48" s="13"/>
      <c r="C48" s="13"/>
      <c r="D48" s="13"/>
      <c r="E48" s="13"/>
      <c r="F48" s="25"/>
      <c r="G48" s="13"/>
      <c r="H48" s="13"/>
      <c r="I48" s="13"/>
      <c r="J48" s="17"/>
      <c r="K48" s="13"/>
    </row>
    <row r="49">
      <c r="B49" s="13"/>
      <c r="C49" s="13"/>
      <c r="D49" s="13"/>
      <c r="E49" s="13"/>
      <c r="F49" s="25"/>
      <c r="G49" s="13"/>
      <c r="H49" s="13"/>
      <c r="I49" s="13"/>
      <c r="J49" s="17"/>
      <c r="K49" s="13"/>
    </row>
    <row r="50">
      <c r="B50" s="13"/>
      <c r="C50" s="13"/>
      <c r="D50" s="13"/>
      <c r="E50" s="13"/>
      <c r="F50" s="25"/>
      <c r="G50" s="13"/>
      <c r="H50" s="13"/>
      <c r="I50" s="13"/>
      <c r="J50" s="17"/>
      <c r="K50" s="13"/>
    </row>
    <row r="51">
      <c r="B51" s="13"/>
      <c r="C51" s="13"/>
      <c r="D51" s="13"/>
      <c r="E51" s="13"/>
      <c r="F51" s="25"/>
      <c r="G51" s="13"/>
      <c r="H51" s="13"/>
      <c r="I51" s="13"/>
      <c r="J51" s="17"/>
      <c r="K51" s="13"/>
    </row>
    <row r="52">
      <c r="B52" s="13"/>
      <c r="C52" s="13"/>
      <c r="D52" s="13"/>
      <c r="E52" s="13"/>
      <c r="F52" s="25"/>
      <c r="G52" s="13"/>
      <c r="H52" s="13"/>
      <c r="I52" s="13"/>
      <c r="J52" s="17"/>
      <c r="K52" s="13"/>
    </row>
    <row r="53">
      <c r="B53" s="13"/>
      <c r="C53" s="13"/>
      <c r="D53" s="13"/>
      <c r="E53" s="13"/>
      <c r="F53" s="25"/>
      <c r="G53" s="13"/>
      <c r="H53" s="13"/>
      <c r="I53" s="13"/>
      <c r="J53" s="17"/>
      <c r="K53" s="13"/>
    </row>
    <row r="54">
      <c r="B54" s="13"/>
      <c r="C54" s="13"/>
      <c r="D54" s="13"/>
      <c r="E54" s="13"/>
      <c r="F54" s="25"/>
      <c r="G54" s="13"/>
      <c r="H54" s="13"/>
      <c r="I54" s="13"/>
      <c r="J54" s="17"/>
      <c r="K54" s="13"/>
    </row>
    <row r="55">
      <c r="B55" s="13"/>
      <c r="C55" s="13"/>
      <c r="D55" s="13"/>
      <c r="E55" s="13"/>
      <c r="F55" s="25"/>
      <c r="G55" s="13"/>
      <c r="H55" s="13"/>
      <c r="I55" s="13"/>
      <c r="J55" s="17"/>
      <c r="K55" s="13"/>
    </row>
    <row r="56">
      <c r="B56" s="13"/>
      <c r="C56" s="13"/>
      <c r="D56" s="13"/>
      <c r="E56" s="13"/>
      <c r="F56" s="25"/>
      <c r="G56" s="13"/>
      <c r="H56" s="13"/>
      <c r="I56" s="13"/>
      <c r="J56" s="17"/>
      <c r="K56" s="13"/>
    </row>
    <row r="57">
      <c r="B57" s="13"/>
      <c r="C57" s="13"/>
      <c r="D57" s="13"/>
      <c r="E57" s="13"/>
      <c r="F57" s="25"/>
      <c r="G57" s="13"/>
      <c r="H57" s="13"/>
      <c r="I57" s="13"/>
      <c r="J57" s="17"/>
      <c r="K57" s="13"/>
    </row>
    <row r="58">
      <c r="B58" s="13"/>
      <c r="C58" s="13"/>
      <c r="D58" s="13"/>
      <c r="E58" s="13"/>
      <c r="F58" s="25"/>
      <c r="G58" s="13"/>
      <c r="H58" s="13"/>
      <c r="I58" s="13"/>
      <c r="J58" s="17"/>
      <c r="K58" s="13"/>
    </row>
    <row r="59">
      <c r="B59" s="13"/>
      <c r="C59" s="13"/>
      <c r="D59" s="13"/>
      <c r="E59" s="13"/>
      <c r="F59" s="25"/>
      <c r="G59" s="13"/>
      <c r="H59" s="13"/>
      <c r="I59" s="13"/>
      <c r="J59" s="17"/>
      <c r="K59" s="13"/>
    </row>
    <row r="60">
      <c r="B60" s="13"/>
      <c r="C60" s="13"/>
      <c r="D60" s="13"/>
      <c r="E60" s="13"/>
      <c r="F60" s="25"/>
      <c r="G60" s="13"/>
      <c r="H60" s="13"/>
      <c r="I60" s="13"/>
      <c r="J60" s="17"/>
      <c r="K60" s="13"/>
    </row>
    <row r="61">
      <c r="B61" s="13"/>
      <c r="C61" s="13"/>
      <c r="D61" s="13"/>
      <c r="E61" s="13"/>
      <c r="F61" s="25"/>
      <c r="G61" s="13"/>
      <c r="H61" s="13"/>
      <c r="I61" s="13"/>
      <c r="J61" s="17"/>
      <c r="K61" s="13"/>
    </row>
    <row r="62">
      <c r="B62" s="13"/>
      <c r="C62" s="13"/>
      <c r="D62" s="13"/>
      <c r="E62" s="13"/>
      <c r="F62" s="25"/>
      <c r="G62" s="13"/>
      <c r="H62" s="13"/>
      <c r="I62" s="13"/>
      <c r="J62" s="17"/>
      <c r="K62" s="13"/>
    </row>
    <row r="63">
      <c r="B63" s="13"/>
      <c r="C63" s="13"/>
      <c r="D63" s="13"/>
      <c r="E63" s="13"/>
      <c r="F63" s="25"/>
      <c r="G63" s="13"/>
      <c r="H63" s="13"/>
      <c r="I63" s="13"/>
      <c r="J63" s="17"/>
      <c r="K63" s="13"/>
    </row>
    <row r="64">
      <c r="B64" s="13"/>
      <c r="C64" s="13"/>
      <c r="D64" s="13"/>
      <c r="E64" s="13"/>
      <c r="F64" s="25"/>
      <c r="G64" s="13"/>
      <c r="H64" s="13"/>
      <c r="I64" s="13"/>
      <c r="J64" s="17"/>
      <c r="K64" s="13"/>
    </row>
    <row r="65">
      <c r="B65" s="13"/>
      <c r="C65" s="13"/>
      <c r="D65" s="13"/>
      <c r="E65" s="13"/>
      <c r="F65" s="25"/>
      <c r="G65" s="13"/>
      <c r="H65" s="13"/>
      <c r="I65" s="13"/>
      <c r="J65" s="17"/>
      <c r="K65" s="13"/>
    </row>
    <row r="66">
      <c r="B66" s="13"/>
      <c r="C66" s="13"/>
      <c r="D66" s="13"/>
      <c r="E66" s="13"/>
      <c r="F66" s="25"/>
      <c r="G66" s="13"/>
      <c r="H66" s="13"/>
      <c r="I66" s="13"/>
      <c r="J66" s="17"/>
      <c r="K66" s="13"/>
    </row>
    <row r="67">
      <c r="B67" s="13"/>
      <c r="C67" s="13"/>
      <c r="D67" s="13"/>
      <c r="E67" s="13"/>
      <c r="F67" s="25"/>
      <c r="G67" s="13"/>
      <c r="H67" s="13"/>
      <c r="I67" s="13"/>
      <c r="J67" s="17"/>
      <c r="K67" s="13"/>
    </row>
    <row r="68">
      <c r="B68" s="13"/>
      <c r="C68" s="13"/>
      <c r="D68" s="13"/>
      <c r="E68" s="13"/>
      <c r="F68" s="25"/>
      <c r="G68" s="13"/>
      <c r="H68" s="13"/>
      <c r="I68" s="13"/>
      <c r="J68" s="17"/>
      <c r="K68" s="13"/>
    </row>
    <row r="69">
      <c r="B69" s="13"/>
      <c r="C69" s="13"/>
      <c r="D69" s="13"/>
      <c r="E69" s="13"/>
      <c r="F69" s="25"/>
      <c r="G69" s="13"/>
      <c r="H69" s="13"/>
      <c r="I69" s="13"/>
      <c r="J69" s="17"/>
      <c r="K69" s="13"/>
    </row>
    <row r="70">
      <c r="B70" s="13"/>
      <c r="C70" s="13"/>
      <c r="D70" s="13"/>
      <c r="E70" s="13"/>
      <c r="F70" s="25"/>
      <c r="G70" s="13"/>
      <c r="H70" s="13"/>
      <c r="I70" s="13"/>
      <c r="J70" s="17"/>
      <c r="K70" s="13"/>
    </row>
    <row r="71">
      <c r="B71" s="13"/>
      <c r="C71" s="13"/>
      <c r="D71" s="13"/>
      <c r="E71" s="13"/>
      <c r="F71" s="25"/>
      <c r="G71" s="13"/>
      <c r="H71" s="13"/>
      <c r="I71" s="13"/>
      <c r="J71" s="17"/>
      <c r="K71" s="13"/>
    </row>
    <row r="72">
      <c r="B72" s="13"/>
      <c r="C72" s="13"/>
      <c r="D72" s="13"/>
      <c r="E72" s="13"/>
      <c r="F72" s="25"/>
      <c r="G72" s="13"/>
      <c r="H72" s="13"/>
      <c r="I72" s="13"/>
      <c r="J72" s="17"/>
      <c r="K72" s="13"/>
    </row>
    <row r="73">
      <c r="B73" s="13"/>
      <c r="C73" s="13"/>
      <c r="D73" s="13"/>
      <c r="E73" s="13"/>
      <c r="F73" s="25"/>
      <c r="G73" s="13"/>
      <c r="H73" s="13"/>
      <c r="I73" s="13"/>
      <c r="J73" s="17"/>
      <c r="K73" s="13"/>
    </row>
    <row r="74">
      <c r="B74" s="13"/>
      <c r="C74" s="13"/>
      <c r="D74" s="13"/>
      <c r="E74" s="13"/>
      <c r="F74" s="25"/>
      <c r="G74" s="13"/>
      <c r="H74" s="13"/>
      <c r="I74" s="13"/>
      <c r="J74" s="17"/>
      <c r="K74" s="13"/>
    </row>
    <row r="75">
      <c r="B75" s="13"/>
      <c r="C75" s="13"/>
      <c r="D75" s="13"/>
      <c r="E75" s="13"/>
      <c r="F75" s="25"/>
      <c r="G75" s="13"/>
      <c r="H75" s="13"/>
      <c r="I75" s="13"/>
      <c r="J75" s="17"/>
      <c r="K75" s="13"/>
    </row>
    <row r="76">
      <c r="B76" s="13"/>
      <c r="C76" s="13"/>
      <c r="D76" s="13"/>
      <c r="E76" s="13"/>
      <c r="F76" s="25"/>
      <c r="G76" s="13"/>
      <c r="H76" s="13"/>
      <c r="I76" s="13"/>
      <c r="J76" s="17"/>
      <c r="K76" s="13"/>
    </row>
    <row r="77">
      <c r="B77" s="13"/>
      <c r="C77" s="13"/>
      <c r="D77" s="13"/>
      <c r="E77" s="13"/>
      <c r="F77" s="25"/>
      <c r="G77" s="13"/>
      <c r="H77" s="13"/>
      <c r="I77" s="13"/>
      <c r="J77" s="17"/>
      <c r="K77" s="13"/>
    </row>
    <row r="78">
      <c r="B78" s="13"/>
      <c r="C78" s="13"/>
      <c r="D78" s="13"/>
      <c r="E78" s="13"/>
      <c r="F78" s="25"/>
      <c r="G78" s="13"/>
      <c r="H78" s="13"/>
      <c r="I78" s="13"/>
      <c r="J78" s="17"/>
      <c r="K78" s="13"/>
    </row>
    <row r="79">
      <c r="B79" s="13"/>
      <c r="C79" s="13"/>
      <c r="D79" s="13"/>
      <c r="E79" s="13"/>
      <c r="F79" s="25"/>
      <c r="G79" s="13"/>
      <c r="H79" s="13"/>
      <c r="I79" s="13"/>
      <c r="J79" s="17"/>
      <c r="K79" s="13"/>
    </row>
    <row r="80">
      <c r="B80" s="13"/>
      <c r="C80" s="13"/>
      <c r="D80" s="13"/>
      <c r="E80" s="13"/>
      <c r="F80" s="25"/>
      <c r="G80" s="13"/>
      <c r="H80" s="13"/>
      <c r="I80" s="13"/>
      <c r="J80" s="17"/>
      <c r="K80" s="13"/>
    </row>
    <row r="81">
      <c r="B81" s="13"/>
      <c r="C81" s="13"/>
      <c r="D81" s="13"/>
      <c r="E81" s="13"/>
      <c r="F81" s="25"/>
      <c r="G81" s="13"/>
      <c r="H81" s="13"/>
      <c r="I81" s="13"/>
      <c r="J81" s="17"/>
      <c r="K81" s="13"/>
    </row>
    <row r="82">
      <c r="B82" s="13"/>
      <c r="C82" s="13"/>
      <c r="D82" s="13"/>
      <c r="E82" s="13"/>
      <c r="F82" s="25"/>
      <c r="G82" s="13"/>
      <c r="H82" s="13"/>
      <c r="I82" s="13"/>
      <c r="J82" s="17"/>
      <c r="K82" s="13"/>
    </row>
    <row r="83">
      <c r="B83" s="13"/>
      <c r="C83" s="13"/>
      <c r="D83" s="13"/>
      <c r="E83" s="13"/>
      <c r="F83" s="25"/>
      <c r="G83" s="13"/>
      <c r="H83" s="13"/>
      <c r="I83" s="13"/>
      <c r="J83" s="17"/>
      <c r="K83" s="13"/>
    </row>
    <row r="84">
      <c r="B84" s="13"/>
      <c r="C84" s="13"/>
      <c r="D84" s="13"/>
      <c r="E84" s="13"/>
      <c r="F84" s="25"/>
      <c r="G84" s="13"/>
      <c r="H84" s="13"/>
      <c r="I84" s="13"/>
      <c r="J84" s="17"/>
      <c r="K84" s="13"/>
    </row>
    <row r="85">
      <c r="B85" s="13"/>
      <c r="C85" s="13"/>
      <c r="D85" s="13"/>
      <c r="E85" s="13"/>
      <c r="F85" s="25"/>
      <c r="G85" s="13"/>
      <c r="H85" s="13"/>
      <c r="I85" s="13"/>
      <c r="J85" s="17"/>
      <c r="K85" s="13"/>
    </row>
    <row r="86">
      <c r="B86" s="13"/>
      <c r="C86" s="13"/>
      <c r="D86" s="13"/>
      <c r="E86" s="13"/>
      <c r="F86" s="25"/>
      <c r="G86" s="13"/>
      <c r="H86" s="13"/>
      <c r="I86" s="13"/>
      <c r="J86" s="17"/>
      <c r="K86" s="13"/>
    </row>
    <row r="87">
      <c r="B87" s="13"/>
      <c r="C87" s="13"/>
      <c r="D87" s="13"/>
      <c r="E87" s="13"/>
      <c r="F87" s="25"/>
      <c r="G87" s="13"/>
      <c r="H87" s="13"/>
      <c r="I87" s="13"/>
      <c r="J87" s="17"/>
      <c r="K87" s="13"/>
    </row>
    <row r="88">
      <c r="B88" s="13"/>
      <c r="C88" s="13"/>
      <c r="D88" s="13"/>
      <c r="E88" s="13"/>
      <c r="F88" s="25"/>
      <c r="G88" s="13"/>
      <c r="H88" s="13"/>
      <c r="I88" s="13"/>
      <c r="J88" s="17"/>
      <c r="K88" s="13"/>
    </row>
    <row r="89">
      <c r="B89" s="13"/>
      <c r="C89" s="13"/>
      <c r="D89" s="13"/>
      <c r="E89" s="13"/>
      <c r="F89" s="25"/>
      <c r="G89" s="13"/>
      <c r="H89" s="13"/>
      <c r="I89" s="13"/>
      <c r="J89" s="17"/>
      <c r="K89" s="13"/>
    </row>
    <row r="90">
      <c r="B90" s="13"/>
      <c r="C90" s="13"/>
      <c r="D90" s="13"/>
      <c r="E90" s="13"/>
      <c r="F90" s="25"/>
      <c r="G90" s="13"/>
      <c r="H90" s="13"/>
      <c r="I90" s="13"/>
      <c r="J90" s="17"/>
      <c r="K90" s="13"/>
    </row>
    <row r="91">
      <c r="B91" s="13"/>
      <c r="C91" s="13"/>
      <c r="D91" s="13"/>
      <c r="E91" s="13"/>
      <c r="F91" s="25"/>
      <c r="G91" s="13"/>
      <c r="H91" s="13"/>
      <c r="I91" s="13"/>
      <c r="J91" s="17"/>
      <c r="K91" s="13"/>
    </row>
    <row r="92">
      <c r="B92" s="13"/>
      <c r="C92" s="13"/>
      <c r="D92" s="13"/>
      <c r="E92" s="13"/>
      <c r="F92" s="25"/>
      <c r="G92" s="13"/>
      <c r="H92" s="13"/>
      <c r="I92" s="13"/>
      <c r="J92" s="17"/>
      <c r="K92" s="13"/>
    </row>
    <row r="93">
      <c r="B93" s="13"/>
      <c r="C93" s="13"/>
      <c r="D93" s="13"/>
      <c r="E93" s="13"/>
      <c r="F93" s="25"/>
      <c r="G93" s="13"/>
      <c r="H93" s="13"/>
      <c r="I93" s="13"/>
      <c r="J93" s="17"/>
      <c r="K93" s="13"/>
    </row>
    <row r="94">
      <c r="B94" s="13"/>
      <c r="C94" s="13"/>
      <c r="D94" s="13"/>
      <c r="E94" s="13"/>
      <c r="F94" s="25"/>
      <c r="G94" s="13"/>
      <c r="H94" s="13"/>
      <c r="I94" s="13"/>
      <c r="J94" s="17"/>
      <c r="K94" s="13"/>
    </row>
    <row r="95">
      <c r="B95" s="13"/>
      <c r="C95" s="13"/>
      <c r="D95" s="13"/>
      <c r="E95" s="13"/>
      <c r="F95" s="25"/>
      <c r="G95" s="13"/>
      <c r="H95" s="13"/>
      <c r="I95" s="13"/>
      <c r="J95" s="17"/>
      <c r="K95" s="13"/>
    </row>
    <row r="96">
      <c r="B96" s="13"/>
      <c r="C96" s="13"/>
      <c r="D96" s="13"/>
      <c r="E96" s="13"/>
      <c r="F96" s="25"/>
      <c r="G96" s="13"/>
      <c r="H96" s="13"/>
      <c r="I96" s="13"/>
      <c r="J96" s="17"/>
      <c r="K96" s="13"/>
    </row>
    <row r="97">
      <c r="B97" s="13"/>
      <c r="C97" s="13"/>
      <c r="D97" s="13"/>
      <c r="E97" s="13"/>
      <c r="F97" s="25"/>
      <c r="G97" s="13"/>
      <c r="H97" s="13"/>
      <c r="I97" s="13"/>
      <c r="J97" s="17"/>
      <c r="K97" s="13"/>
    </row>
    <row r="98">
      <c r="B98" s="13"/>
      <c r="C98" s="13"/>
      <c r="D98" s="13"/>
      <c r="E98" s="13"/>
      <c r="F98" s="25"/>
      <c r="G98" s="13"/>
      <c r="H98" s="13"/>
      <c r="I98" s="13"/>
      <c r="J98" s="17"/>
      <c r="K98" s="13"/>
    </row>
    <row r="99">
      <c r="B99" s="13"/>
      <c r="C99" s="13"/>
      <c r="D99" s="13"/>
      <c r="E99" s="13"/>
      <c r="F99" s="25"/>
      <c r="G99" s="13"/>
      <c r="H99" s="13"/>
      <c r="I99" s="13"/>
      <c r="J99" s="17"/>
      <c r="K99" s="13"/>
    </row>
    <row r="100">
      <c r="B100" s="13"/>
      <c r="C100" s="13"/>
      <c r="D100" s="13"/>
      <c r="E100" s="13"/>
      <c r="F100" s="25"/>
      <c r="G100" s="13"/>
      <c r="H100" s="13"/>
      <c r="I100" s="13"/>
      <c r="J100" s="17"/>
      <c r="K100" s="13"/>
    </row>
    <row r="101">
      <c r="B101" s="13"/>
      <c r="C101" s="13"/>
      <c r="D101" s="13"/>
      <c r="E101" s="13"/>
      <c r="F101" s="25"/>
      <c r="G101" s="13"/>
      <c r="H101" s="13"/>
      <c r="I101" s="13"/>
      <c r="J101" s="17"/>
      <c r="K101" s="13"/>
    </row>
    <row r="102">
      <c r="B102" s="13"/>
      <c r="C102" s="13"/>
      <c r="D102" s="13"/>
      <c r="E102" s="13"/>
      <c r="F102" s="25"/>
      <c r="G102" s="13"/>
      <c r="H102" s="13"/>
      <c r="I102" s="13"/>
      <c r="J102" s="17"/>
      <c r="K102" s="13"/>
    </row>
    <row r="103">
      <c r="B103" s="13"/>
      <c r="C103" s="13"/>
      <c r="D103" s="13"/>
      <c r="E103" s="13"/>
      <c r="F103" s="25"/>
      <c r="G103" s="13"/>
      <c r="H103" s="13"/>
      <c r="I103" s="13"/>
      <c r="J103" s="17"/>
      <c r="K103" s="13"/>
    </row>
    <row r="104">
      <c r="B104" s="13"/>
      <c r="C104" s="13"/>
      <c r="D104" s="13"/>
      <c r="E104" s="13"/>
      <c r="F104" s="25"/>
      <c r="G104" s="13"/>
      <c r="H104" s="13"/>
      <c r="I104" s="13"/>
      <c r="J104" s="17"/>
      <c r="K104" s="13"/>
    </row>
    <row r="105">
      <c r="B105" s="13"/>
      <c r="C105" s="13"/>
      <c r="D105" s="13"/>
      <c r="E105" s="13"/>
      <c r="F105" s="25"/>
      <c r="G105" s="13"/>
      <c r="H105" s="13"/>
      <c r="I105" s="13"/>
      <c r="J105" s="17"/>
      <c r="K105" s="13"/>
    </row>
  </sheetData>
  <mergeCells count="1">
    <mergeCell ref="B2:K2"/>
  </mergeCells>
  <dataValidations>
    <dataValidation type="list" allowBlank="1" showErrorMessage="1" sqref="E6:E105">
      <formula1>"Male,Female"</formula1>
    </dataValidation>
    <dataValidation type="list" allowBlank="1" showErrorMessage="1" sqref="I6:I105">
      <formula1>"Full-Time,Part-Time,Contract"</formula1>
    </dataValidation>
    <dataValidation type="list" allowBlank="1" showErrorMessage="1" sqref="K6:K105">
      <formula1>"Active,On Leave,Inactive"</formula1>
    </dataValidation>
    <dataValidation type="list" allowBlank="1" showErrorMessage="1" sqref="G6:G105">
      <formula1>"Teacher,Administrator,Support Staff"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38.13"/>
    <col customWidth="1" min="3" max="3" width="9.38"/>
    <col customWidth="1" min="4" max="4" width="10.88"/>
    <col customWidth="1" min="5" max="5" width="7.38"/>
    <col customWidth="1" min="6" max="6" width="8.38"/>
    <col customWidth="1" min="7" max="7" width="9.5"/>
    <col customWidth="1" min="8" max="8" width="8.38"/>
  </cols>
  <sheetData>
    <row r="2">
      <c r="B2" s="2" t="s">
        <v>3</v>
      </c>
    </row>
    <row r="3">
      <c r="B3" s="4" t="s">
        <v>6</v>
      </c>
      <c r="C3" s="4">
        <f>COUNTA(B6:B205)</f>
        <v>0</v>
      </c>
      <c r="D3" s="5" t="s">
        <v>9</v>
      </c>
      <c r="E3" s="8">
        <f>SUM(G6:G205)</f>
        <v>0</v>
      </c>
      <c r="F3" s="11"/>
      <c r="G3" s="11"/>
      <c r="H3" s="11"/>
    </row>
    <row r="5">
      <c r="B5" s="16" t="s">
        <v>26</v>
      </c>
      <c r="C5" s="16" t="s">
        <v>31</v>
      </c>
      <c r="D5" s="16" t="s">
        <v>32</v>
      </c>
      <c r="E5" s="16" t="s">
        <v>33</v>
      </c>
      <c r="F5" s="16" t="s">
        <v>34</v>
      </c>
      <c r="G5" s="16" t="s">
        <v>35</v>
      </c>
      <c r="H5" s="16" t="s">
        <v>36</v>
      </c>
    </row>
    <row r="6">
      <c r="B6" s="13"/>
      <c r="C6" s="13"/>
      <c r="D6" s="13"/>
      <c r="E6" s="13"/>
      <c r="F6" s="19"/>
      <c r="G6" s="19" t="str">
        <f t="array" ref="G6:G205">IF(ISNUMBER(E6:E205)*ISNUMBER(F6:F205), E6:E205*F6:F205, "")</f>
        <v/>
      </c>
      <c r="H6" s="13"/>
    </row>
    <row r="7">
      <c r="B7" s="13"/>
      <c r="C7" s="13"/>
      <c r="D7" s="13"/>
      <c r="E7" s="13"/>
      <c r="F7" s="19"/>
      <c r="G7" s="19" t="s">
        <v>70</v>
      </c>
      <c r="H7" s="13"/>
    </row>
    <row r="8">
      <c r="B8" s="13"/>
      <c r="C8" s="13"/>
      <c r="D8" s="13"/>
      <c r="E8" s="13"/>
      <c r="F8" s="19"/>
      <c r="G8" s="19" t="s">
        <v>70</v>
      </c>
      <c r="H8" s="13"/>
    </row>
    <row r="9">
      <c r="B9" s="13"/>
      <c r="C9" s="13"/>
      <c r="D9" s="13"/>
      <c r="E9" s="13"/>
      <c r="F9" s="19"/>
      <c r="G9" s="19" t="s">
        <v>70</v>
      </c>
      <c r="H9" s="13"/>
    </row>
    <row r="10">
      <c r="B10" s="13"/>
      <c r="C10" s="13"/>
      <c r="D10" s="13"/>
      <c r="E10" s="13"/>
      <c r="F10" s="19"/>
      <c r="G10" s="19" t="s">
        <v>70</v>
      </c>
      <c r="H10" s="13"/>
    </row>
    <row r="11">
      <c r="B11" s="13"/>
      <c r="C11" s="13"/>
      <c r="D11" s="13"/>
      <c r="E11" s="13"/>
      <c r="F11" s="19"/>
      <c r="G11" s="19" t="s">
        <v>70</v>
      </c>
      <c r="H11" s="13"/>
    </row>
    <row r="12">
      <c r="B12" s="13"/>
      <c r="C12" s="13"/>
      <c r="D12" s="13"/>
      <c r="E12" s="13"/>
      <c r="F12" s="19"/>
      <c r="G12" s="19" t="s">
        <v>70</v>
      </c>
      <c r="H12" s="13"/>
    </row>
    <row r="13">
      <c r="B13" s="13"/>
      <c r="C13" s="13"/>
      <c r="D13" s="13"/>
      <c r="E13" s="13"/>
      <c r="F13" s="19"/>
      <c r="G13" s="19" t="s">
        <v>70</v>
      </c>
      <c r="H13" s="13"/>
    </row>
    <row r="14">
      <c r="B14" s="13"/>
      <c r="C14" s="13"/>
      <c r="D14" s="13"/>
      <c r="E14" s="13"/>
      <c r="F14" s="19"/>
      <c r="G14" s="19" t="s">
        <v>70</v>
      </c>
      <c r="H14" s="13"/>
    </row>
    <row r="15">
      <c r="B15" s="13"/>
      <c r="C15" s="13"/>
      <c r="D15" s="13"/>
      <c r="E15" s="13"/>
      <c r="F15" s="19"/>
      <c r="G15" s="19" t="s">
        <v>70</v>
      </c>
      <c r="H15" s="13"/>
    </row>
    <row r="16">
      <c r="B16" s="13"/>
      <c r="C16" s="13"/>
      <c r="D16" s="13"/>
      <c r="E16" s="13"/>
      <c r="F16" s="19"/>
      <c r="G16" s="19" t="s">
        <v>70</v>
      </c>
      <c r="H16" s="13"/>
    </row>
    <row r="17">
      <c r="B17" s="13"/>
      <c r="C17" s="13"/>
      <c r="D17" s="13"/>
      <c r="E17" s="13"/>
      <c r="F17" s="19"/>
      <c r="G17" s="19" t="s">
        <v>70</v>
      </c>
      <c r="H17" s="13"/>
    </row>
    <row r="18">
      <c r="B18" s="13"/>
      <c r="C18" s="13"/>
      <c r="D18" s="13"/>
      <c r="E18" s="13"/>
      <c r="F18" s="19"/>
      <c r="G18" s="19" t="s">
        <v>70</v>
      </c>
      <c r="H18" s="13"/>
    </row>
    <row r="19">
      <c r="B19" s="13"/>
      <c r="C19" s="13"/>
      <c r="D19" s="13"/>
      <c r="E19" s="13"/>
      <c r="F19" s="19"/>
      <c r="G19" s="19" t="s">
        <v>70</v>
      </c>
      <c r="H19" s="13"/>
    </row>
    <row r="20">
      <c r="B20" s="13"/>
      <c r="C20" s="13"/>
      <c r="D20" s="13"/>
      <c r="E20" s="13"/>
      <c r="F20" s="19"/>
      <c r="G20" s="19" t="s">
        <v>70</v>
      </c>
      <c r="H20" s="13"/>
    </row>
    <row r="21">
      <c r="B21" s="13"/>
      <c r="C21" s="13"/>
      <c r="D21" s="13"/>
      <c r="E21" s="13"/>
      <c r="F21" s="19"/>
      <c r="G21" s="19" t="s">
        <v>70</v>
      </c>
      <c r="H21" s="13"/>
    </row>
    <row r="22">
      <c r="B22" s="13"/>
      <c r="C22" s="13"/>
      <c r="D22" s="13"/>
      <c r="E22" s="13"/>
      <c r="F22" s="19"/>
      <c r="G22" s="19" t="s">
        <v>70</v>
      </c>
      <c r="H22" s="13"/>
    </row>
    <row r="23">
      <c r="B23" s="13"/>
      <c r="C23" s="13"/>
      <c r="D23" s="13"/>
      <c r="E23" s="13"/>
      <c r="F23" s="19"/>
      <c r="G23" s="19" t="s">
        <v>70</v>
      </c>
      <c r="H23" s="13"/>
    </row>
    <row r="24">
      <c r="B24" s="13"/>
      <c r="C24" s="13"/>
      <c r="D24" s="13"/>
      <c r="E24" s="13"/>
      <c r="F24" s="19"/>
      <c r="G24" s="19" t="s">
        <v>70</v>
      </c>
      <c r="H24" s="13"/>
    </row>
    <row r="25">
      <c r="B25" s="13"/>
      <c r="C25" s="13"/>
      <c r="D25" s="13"/>
      <c r="E25" s="13"/>
      <c r="F25" s="19"/>
      <c r="G25" s="19" t="s">
        <v>70</v>
      </c>
      <c r="H25" s="13"/>
    </row>
    <row r="26">
      <c r="B26" s="13"/>
      <c r="C26" s="13"/>
      <c r="D26" s="13"/>
      <c r="E26" s="13"/>
      <c r="F26" s="19"/>
      <c r="G26" s="19" t="s">
        <v>70</v>
      </c>
      <c r="H26" s="13"/>
    </row>
    <row r="27">
      <c r="B27" s="13"/>
      <c r="C27" s="13"/>
      <c r="D27" s="13"/>
      <c r="E27" s="13"/>
      <c r="F27" s="19"/>
      <c r="G27" s="19" t="s">
        <v>70</v>
      </c>
      <c r="H27" s="13"/>
    </row>
    <row r="28">
      <c r="B28" s="13"/>
      <c r="C28" s="13"/>
      <c r="D28" s="13"/>
      <c r="E28" s="13"/>
      <c r="F28" s="19"/>
      <c r="G28" s="19" t="s">
        <v>70</v>
      </c>
      <c r="H28" s="13"/>
    </row>
    <row r="29">
      <c r="B29" s="13"/>
      <c r="C29" s="13"/>
      <c r="D29" s="13"/>
      <c r="E29" s="13"/>
      <c r="F29" s="19"/>
      <c r="G29" s="19" t="s">
        <v>70</v>
      </c>
      <c r="H29" s="13"/>
    </row>
    <row r="30">
      <c r="B30" s="13"/>
      <c r="C30" s="13"/>
      <c r="D30" s="13"/>
      <c r="E30" s="13"/>
      <c r="F30" s="19"/>
      <c r="G30" s="19" t="s">
        <v>70</v>
      </c>
      <c r="H30" s="13"/>
    </row>
    <row r="31">
      <c r="B31" s="13"/>
      <c r="C31" s="13"/>
      <c r="D31" s="13"/>
      <c r="E31" s="13"/>
      <c r="F31" s="19"/>
      <c r="G31" s="19" t="s">
        <v>70</v>
      </c>
      <c r="H31" s="13"/>
    </row>
    <row r="32">
      <c r="B32" s="13"/>
      <c r="C32" s="13"/>
      <c r="D32" s="13"/>
      <c r="E32" s="13"/>
      <c r="F32" s="19"/>
      <c r="G32" s="19" t="s">
        <v>70</v>
      </c>
      <c r="H32" s="13"/>
    </row>
    <row r="33">
      <c r="B33" s="13"/>
      <c r="C33" s="13"/>
      <c r="D33" s="13"/>
      <c r="E33" s="13"/>
      <c r="F33" s="19"/>
      <c r="G33" s="19" t="s">
        <v>70</v>
      </c>
      <c r="H33" s="13"/>
    </row>
    <row r="34">
      <c r="B34" s="13"/>
      <c r="C34" s="13"/>
      <c r="D34" s="13"/>
      <c r="E34" s="13"/>
      <c r="F34" s="19"/>
      <c r="G34" s="19" t="s">
        <v>70</v>
      </c>
      <c r="H34" s="13"/>
    </row>
    <row r="35">
      <c r="B35" s="13"/>
      <c r="C35" s="13"/>
      <c r="D35" s="13"/>
      <c r="E35" s="13"/>
      <c r="F35" s="19"/>
      <c r="G35" s="19" t="s">
        <v>70</v>
      </c>
      <c r="H35" s="13"/>
    </row>
    <row r="36">
      <c r="B36" s="13"/>
      <c r="C36" s="13"/>
      <c r="D36" s="13"/>
      <c r="E36" s="13"/>
      <c r="F36" s="19"/>
      <c r="G36" s="19" t="s">
        <v>70</v>
      </c>
      <c r="H36" s="13"/>
    </row>
    <row r="37">
      <c r="B37" s="13"/>
      <c r="C37" s="13"/>
      <c r="D37" s="13"/>
      <c r="E37" s="13"/>
      <c r="F37" s="19"/>
      <c r="G37" s="19" t="s">
        <v>70</v>
      </c>
      <c r="H37" s="13"/>
    </row>
    <row r="38">
      <c r="B38" s="13"/>
      <c r="C38" s="13"/>
      <c r="D38" s="13"/>
      <c r="E38" s="13"/>
      <c r="F38" s="19"/>
      <c r="G38" s="19" t="s">
        <v>70</v>
      </c>
      <c r="H38" s="13"/>
    </row>
    <row r="39">
      <c r="B39" s="13"/>
      <c r="C39" s="13"/>
      <c r="D39" s="13"/>
      <c r="E39" s="13"/>
      <c r="F39" s="19"/>
      <c r="G39" s="19" t="s">
        <v>70</v>
      </c>
      <c r="H39" s="13"/>
    </row>
    <row r="40">
      <c r="B40" s="13"/>
      <c r="C40" s="13"/>
      <c r="D40" s="13"/>
      <c r="E40" s="13"/>
      <c r="F40" s="19"/>
      <c r="G40" s="19" t="s">
        <v>70</v>
      </c>
      <c r="H40" s="13"/>
    </row>
    <row r="41">
      <c r="B41" s="13"/>
      <c r="C41" s="13"/>
      <c r="D41" s="13"/>
      <c r="E41" s="13"/>
      <c r="F41" s="19"/>
      <c r="G41" s="19" t="s">
        <v>70</v>
      </c>
      <c r="H41" s="13"/>
    </row>
    <row r="42">
      <c r="B42" s="13"/>
      <c r="C42" s="13"/>
      <c r="D42" s="13"/>
      <c r="E42" s="13"/>
      <c r="F42" s="19"/>
      <c r="G42" s="19" t="s">
        <v>70</v>
      </c>
      <c r="H42" s="13"/>
    </row>
    <row r="43">
      <c r="B43" s="13"/>
      <c r="C43" s="13"/>
      <c r="D43" s="13"/>
      <c r="E43" s="13"/>
      <c r="F43" s="19"/>
      <c r="G43" s="19" t="s">
        <v>70</v>
      </c>
      <c r="H43" s="13"/>
    </row>
    <row r="44">
      <c r="B44" s="13"/>
      <c r="C44" s="13"/>
      <c r="D44" s="13"/>
      <c r="E44" s="13"/>
      <c r="F44" s="19"/>
      <c r="G44" s="19" t="s">
        <v>70</v>
      </c>
      <c r="H44" s="13"/>
    </row>
    <row r="45">
      <c r="B45" s="13"/>
      <c r="C45" s="13"/>
      <c r="D45" s="13"/>
      <c r="E45" s="13"/>
      <c r="F45" s="19"/>
      <c r="G45" s="19" t="s">
        <v>70</v>
      </c>
      <c r="H45" s="13"/>
    </row>
    <row r="46">
      <c r="B46" s="13"/>
      <c r="C46" s="13"/>
      <c r="D46" s="13"/>
      <c r="E46" s="13"/>
      <c r="F46" s="19"/>
      <c r="G46" s="19" t="s">
        <v>70</v>
      </c>
      <c r="H46" s="13"/>
    </row>
    <row r="47">
      <c r="B47" s="13"/>
      <c r="C47" s="13"/>
      <c r="D47" s="13"/>
      <c r="E47" s="13"/>
      <c r="F47" s="19"/>
      <c r="G47" s="19" t="s">
        <v>70</v>
      </c>
      <c r="H47" s="13"/>
    </row>
    <row r="48">
      <c r="B48" s="13"/>
      <c r="C48" s="13"/>
      <c r="D48" s="13"/>
      <c r="E48" s="13"/>
      <c r="F48" s="19"/>
      <c r="G48" s="19" t="s">
        <v>70</v>
      </c>
      <c r="H48" s="13"/>
    </row>
    <row r="49">
      <c r="B49" s="13"/>
      <c r="C49" s="13"/>
      <c r="D49" s="13"/>
      <c r="E49" s="13"/>
      <c r="F49" s="19"/>
      <c r="G49" s="19" t="s">
        <v>70</v>
      </c>
      <c r="H49" s="13"/>
    </row>
    <row r="50">
      <c r="B50" s="13"/>
      <c r="C50" s="13"/>
      <c r="D50" s="13"/>
      <c r="E50" s="13"/>
      <c r="F50" s="19"/>
      <c r="G50" s="19" t="s">
        <v>70</v>
      </c>
      <c r="H50" s="13"/>
    </row>
    <row r="51">
      <c r="B51" s="13"/>
      <c r="C51" s="13"/>
      <c r="D51" s="13"/>
      <c r="E51" s="13"/>
      <c r="F51" s="19"/>
      <c r="G51" s="19" t="s">
        <v>70</v>
      </c>
      <c r="H51" s="13"/>
    </row>
    <row r="52">
      <c r="B52" s="13"/>
      <c r="C52" s="13"/>
      <c r="D52" s="13"/>
      <c r="E52" s="13"/>
      <c r="F52" s="19"/>
      <c r="G52" s="19" t="s">
        <v>70</v>
      </c>
      <c r="H52" s="13"/>
    </row>
    <row r="53">
      <c r="B53" s="13"/>
      <c r="C53" s="13"/>
      <c r="D53" s="13"/>
      <c r="E53" s="13"/>
      <c r="F53" s="19"/>
      <c r="G53" s="19" t="s">
        <v>70</v>
      </c>
      <c r="H53" s="13"/>
    </row>
    <row r="54">
      <c r="B54" s="13"/>
      <c r="C54" s="13"/>
      <c r="D54" s="13"/>
      <c r="E54" s="13"/>
      <c r="F54" s="19"/>
      <c r="G54" s="19" t="s">
        <v>70</v>
      </c>
      <c r="H54" s="13"/>
    </row>
    <row r="55">
      <c r="B55" s="13"/>
      <c r="C55" s="13"/>
      <c r="D55" s="13"/>
      <c r="E55" s="13"/>
      <c r="F55" s="19"/>
      <c r="G55" s="19" t="s">
        <v>70</v>
      </c>
      <c r="H55" s="13"/>
    </row>
    <row r="56">
      <c r="B56" s="13"/>
      <c r="C56" s="13"/>
      <c r="D56" s="13"/>
      <c r="E56" s="13"/>
      <c r="F56" s="19"/>
      <c r="G56" s="19" t="s">
        <v>70</v>
      </c>
      <c r="H56" s="13"/>
    </row>
    <row r="57">
      <c r="B57" s="13"/>
      <c r="C57" s="13"/>
      <c r="D57" s="13"/>
      <c r="E57" s="13"/>
      <c r="F57" s="19"/>
      <c r="G57" s="19" t="s">
        <v>70</v>
      </c>
      <c r="H57" s="13"/>
    </row>
    <row r="58">
      <c r="B58" s="13"/>
      <c r="C58" s="13"/>
      <c r="D58" s="13"/>
      <c r="E58" s="13"/>
      <c r="F58" s="19"/>
      <c r="G58" s="19" t="s">
        <v>70</v>
      </c>
      <c r="H58" s="13"/>
    </row>
    <row r="59">
      <c r="B59" s="13"/>
      <c r="C59" s="13"/>
      <c r="D59" s="13"/>
      <c r="E59" s="13"/>
      <c r="F59" s="19"/>
      <c r="G59" s="19" t="s">
        <v>70</v>
      </c>
      <c r="H59" s="13"/>
    </row>
    <row r="60">
      <c r="B60" s="13"/>
      <c r="C60" s="13"/>
      <c r="D60" s="13"/>
      <c r="E60" s="13"/>
      <c r="F60" s="19"/>
      <c r="G60" s="19" t="s">
        <v>70</v>
      </c>
      <c r="H60" s="13"/>
    </row>
    <row r="61">
      <c r="B61" s="13"/>
      <c r="C61" s="13"/>
      <c r="D61" s="13"/>
      <c r="E61" s="13"/>
      <c r="F61" s="19"/>
      <c r="G61" s="19" t="s">
        <v>70</v>
      </c>
      <c r="H61" s="13"/>
    </row>
    <row r="62">
      <c r="B62" s="13"/>
      <c r="C62" s="13"/>
      <c r="D62" s="13"/>
      <c r="E62" s="13"/>
      <c r="F62" s="19"/>
      <c r="G62" s="19" t="s">
        <v>70</v>
      </c>
      <c r="H62" s="13"/>
    </row>
    <row r="63">
      <c r="B63" s="13"/>
      <c r="C63" s="13"/>
      <c r="D63" s="13"/>
      <c r="E63" s="13"/>
      <c r="F63" s="19"/>
      <c r="G63" s="19" t="s">
        <v>70</v>
      </c>
      <c r="H63" s="13"/>
    </row>
    <row r="64">
      <c r="B64" s="13"/>
      <c r="C64" s="13"/>
      <c r="D64" s="13"/>
      <c r="E64" s="13"/>
      <c r="F64" s="19"/>
      <c r="G64" s="19" t="s">
        <v>70</v>
      </c>
      <c r="H64" s="13"/>
    </row>
    <row r="65">
      <c r="B65" s="13"/>
      <c r="C65" s="13"/>
      <c r="D65" s="13"/>
      <c r="E65" s="13"/>
      <c r="F65" s="19"/>
      <c r="G65" s="19" t="s">
        <v>70</v>
      </c>
      <c r="H65" s="13"/>
    </row>
    <row r="66">
      <c r="B66" s="13"/>
      <c r="C66" s="13"/>
      <c r="D66" s="13"/>
      <c r="E66" s="13"/>
      <c r="F66" s="19"/>
      <c r="G66" s="19" t="s">
        <v>70</v>
      </c>
      <c r="H66" s="13"/>
    </row>
    <row r="67">
      <c r="B67" s="13"/>
      <c r="C67" s="13"/>
      <c r="D67" s="13"/>
      <c r="E67" s="13"/>
      <c r="F67" s="19"/>
      <c r="G67" s="19" t="s">
        <v>70</v>
      </c>
      <c r="H67" s="13"/>
    </row>
    <row r="68">
      <c r="B68" s="13"/>
      <c r="C68" s="13"/>
      <c r="D68" s="13"/>
      <c r="E68" s="13"/>
      <c r="F68" s="19"/>
      <c r="G68" s="19" t="s">
        <v>70</v>
      </c>
      <c r="H68" s="13"/>
    </row>
    <row r="69">
      <c r="B69" s="13"/>
      <c r="C69" s="13"/>
      <c r="D69" s="13"/>
      <c r="E69" s="13"/>
      <c r="F69" s="19"/>
      <c r="G69" s="19" t="s">
        <v>70</v>
      </c>
      <c r="H69" s="13"/>
    </row>
    <row r="70">
      <c r="B70" s="13"/>
      <c r="C70" s="13"/>
      <c r="D70" s="13"/>
      <c r="E70" s="13"/>
      <c r="F70" s="19"/>
      <c r="G70" s="19" t="s">
        <v>70</v>
      </c>
      <c r="H70" s="13"/>
    </row>
    <row r="71">
      <c r="B71" s="13"/>
      <c r="C71" s="13"/>
      <c r="D71" s="13"/>
      <c r="E71" s="13"/>
      <c r="F71" s="19"/>
      <c r="G71" s="19" t="s">
        <v>70</v>
      </c>
      <c r="H71" s="13"/>
    </row>
    <row r="72">
      <c r="B72" s="13"/>
      <c r="C72" s="13"/>
      <c r="D72" s="13"/>
      <c r="E72" s="13"/>
      <c r="F72" s="19"/>
      <c r="G72" s="19" t="s">
        <v>70</v>
      </c>
      <c r="H72" s="13"/>
    </row>
    <row r="73">
      <c r="B73" s="13"/>
      <c r="C73" s="13"/>
      <c r="D73" s="13"/>
      <c r="E73" s="13"/>
      <c r="F73" s="19"/>
      <c r="G73" s="19" t="s">
        <v>70</v>
      </c>
      <c r="H73" s="13"/>
    </row>
    <row r="74">
      <c r="B74" s="13"/>
      <c r="C74" s="13"/>
      <c r="D74" s="13"/>
      <c r="E74" s="13"/>
      <c r="F74" s="19"/>
      <c r="G74" s="19" t="s">
        <v>70</v>
      </c>
      <c r="H74" s="13"/>
    </row>
    <row r="75">
      <c r="B75" s="13"/>
      <c r="C75" s="13"/>
      <c r="D75" s="13"/>
      <c r="E75" s="13"/>
      <c r="F75" s="19"/>
      <c r="G75" s="19" t="s">
        <v>70</v>
      </c>
      <c r="H75" s="13"/>
    </row>
    <row r="76">
      <c r="B76" s="13"/>
      <c r="C76" s="13"/>
      <c r="D76" s="13"/>
      <c r="E76" s="13"/>
      <c r="F76" s="19"/>
      <c r="G76" s="19" t="s">
        <v>70</v>
      </c>
      <c r="H76" s="13"/>
    </row>
    <row r="77">
      <c r="B77" s="13"/>
      <c r="C77" s="13"/>
      <c r="D77" s="13"/>
      <c r="E77" s="13"/>
      <c r="F77" s="19"/>
      <c r="G77" s="19" t="s">
        <v>70</v>
      </c>
      <c r="H77" s="13"/>
    </row>
    <row r="78">
      <c r="B78" s="13"/>
      <c r="C78" s="13"/>
      <c r="D78" s="13"/>
      <c r="E78" s="13"/>
      <c r="F78" s="19"/>
      <c r="G78" s="19" t="s">
        <v>70</v>
      </c>
      <c r="H78" s="13"/>
    </row>
    <row r="79">
      <c r="B79" s="13"/>
      <c r="C79" s="13"/>
      <c r="D79" s="13"/>
      <c r="E79" s="13"/>
      <c r="F79" s="19"/>
      <c r="G79" s="19" t="s">
        <v>70</v>
      </c>
      <c r="H79" s="13"/>
    </row>
    <row r="80">
      <c r="B80" s="13"/>
      <c r="C80" s="13"/>
      <c r="D80" s="13"/>
      <c r="E80" s="13"/>
      <c r="F80" s="19"/>
      <c r="G80" s="19" t="s">
        <v>70</v>
      </c>
      <c r="H80" s="13"/>
    </row>
    <row r="81">
      <c r="B81" s="13"/>
      <c r="C81" s="13"/>
      <c r="D81" s="13"/>
      <c r="E81" s="13"/>
      <c r="F81" s="19"/>
      <c r="G81" s="19" t="s">
        <v>70</v>
      </c>
      <c r="H81" s="13"/>
    </row>
    <row r="82">
      <c r="B82" s="13"/>
      <c r="C82" s="13"/>
      <c r="D82" s="13"/>
      <c r="E82" s="13"/>
      <c r="F82" s="19"/>
      <c r="G82" s="19" t="s">
        <v>70</v>
      </c>
      <c r="H82" s="13"/>
    </row>
    <row r="83">
      <c r="B83" s="13"/>
      <c r="C83" s="13"/>
      <c r="D83" s="13"/>
      <c r="E83" s="13"/>
      <c r="F83" s="19"/>
      <c r="G83" s="19" t="s">
        <v>70</v>
      </c>
      <c r="H83" s="13"/>
    </row>
    <row r="84">
      <c r="B84" s="13"/>
      <c r="C84" s="13"/>
      <c r="D84" s="13"/>
      <c r="E84" s="13"/>
      <c r="F84" s="19"/>
      <c r="G84" s="19" t="s">
        <v>70</v>
      </c>
      <c r="H84" s="13"/>
    </row>
    <row r="85">
      <c r="B85" s="13"/>
      <c r="C85" s="13"/>
      <c r="D85" s="13"/>
      <c r="E85" s="13"/>
      <c r="F85" s="19"/>
      <c r="G85" s="19" t="s">
        <v>70</v>
      </c>
      <c r="H85" s="13"/>
    </row>
    <row r="86">
      <c r="B86" s="13"/>
      <c r="C86" s="13"/>
      <c r="D86" s="13"/>
      <c r="E86" s="13"/>
      <c r="F86" s="19"/>
      <c r="G86" s="19" t="s">
        <v>70</v>
      </c>
      <c r="H86" s="13"/>
    </row>
    <row r="87">
      <c r="B87" s="13"/>
      <c r="C87" s="13"/>
      <c r="D87" s="13"/>
      <c r="E87" s="13"/>
      <c r="F87" s="19"/>
      <c r="G87" s="19" t="s">
        <v>70</v>
      </c>
      <c r="H87" s="13"/>
    </row>
    <row r="88">
      <c r="B88" s="13"/>
      <c r="C88" s="13"/>
      <c r="D88" s="13"/>
      <c r="E88" s="13"/>
      <c r="F88" s="19"/>
      <c r="G88" s="19" t="s">
        <v>70</v>
      </c>
      <c r="H88" s="13"/>
    </row>
    <row r="89">
      <c r="B89" s="13"/>
      <c r="C89" s="13"/>
      <c r="D89" s="13"/>
      <c r="E89" s="13"/>
      <c r="F89" s="19"/>
      <c r="G89" s="19" t="s">
        <v>70</v>
      </c>
      <c r="H89" s="13"/>
    </row>
    <row r="90">
      <c r="B90" s="13"/>
      <c r="C90" s="13"/>
      <c r="D90" s="13"/>
      <c r="E90" s="13"/>
      <c r="F90" s="19"/>
      <c r="G90" s="19" t="s">
        <v>70</v>
      </c>
      <c r="H90" s="13"/>
    </row>
    <row r="91">
      <c r="B91" s="13"/>
      <c r="C91" s="13"/>
      <c r="D91" s="13"/>
      <c r="E91" s="13"/>
      <c r="F91" s="19"/>
      <c r="G91" s="19" t="s">
        <v>70</v>
      </c>
      <c r="H91" s="13"/>
    </row>
    <row r="92">
      <c r="B92" s="13"/>
      <c r="C92" s="13"/>
      <c r="D92" s="13"/>
      <c r="E92" s="13"/>
      <c r="F92" s="19"/>
      <c r="G92" s="19" t="s">
        <v>70</v>
      </c>
      <c r="H92" s="13"/>
    </row>
    <row r="93">
      <c r="B93" s="13"/>
      <c r="C93" s="13"/>
      <c r="D93" s="13"/>
      <c r="E93" s="13"/>
      <c r="F93" s="19"/>
      <c r="G93" s="19" t="s">
        <v>70</v>
      </c>
      <c r="H93" s="13"/>
    </row>
    <row r="94">
      <c r="B94" s="13"/>
      <c r="C94" s="13"/>
      <c r="D94" s="13"/>
      <c r="E94" s="13"/>
      <c r="F94" s="19"/>
      <c r="G94" s="19" t="s">
        <v>70</v>
      </c>
      <c r="H94" s="13"/>
    </row>
    <row r="95">
      <c r="B95" s="13"/>
      <c r="C95" s="13"/>
      <c r="D95" s="13"/>
      <c r="E95" s="13"/>
      <c r="F95" s="19"/>
      <c r="G95" s="19" t="s">
        <v>70</v>
      </c>
      <c r="H95" s="13"/>
    </row>
    <row r="96">
      <c r="B96" s="13"/>
      <c r="C96" s="13"/>
      <c r="D96" s="13"/>
      <c r="E96" s="13"/>
      <c r="F96" s="19"/>
      <c r="G96" s="19" t="s">
        <v>70</v>
      </c>
      <c r="H96" s="13"/>
    </row>
    <row r="97">
      <c r="B97" s="13"/>
      <c r="C97" s="13"/>
      <c r="D97" s="13"/>
      <c r="E97" s="13"/>
      <c r="F97" s="19"/>
      <c r="G97" s="19" t="s">
        <v>70</v>
      </c>
      <c r="H97" s="13"/>
    </row>
    <row r="98">
      <c r="B98" s="13"/>
      <c r="C98" s="13"/>
      <c r="D98" s="13"/>
      <c r="E98" s="13"/>
      <c r="F98" s="19"/>
      <c r="G98" s="19" t="s">
        <v>70</v>
      </c>
      <c r="H98" s="13"/>
    </row>
    <row r="99">
      <c r="B99" s="13"/>
      <c r="C99" s="13"/>
      <c r="D99" s="13"/>
      <c r="E99" s="13"/>
      <c r="F99" s="19"/>
      <c r="G99" s="19" t="s">
        <v>70</v>
      </c>
      <c r="H99" s="13"/>
    </row>
    <row r="100">
      <c r="B100" s="13"/>
      <c r="C100" s="13"/>
      <c r="D100" s="13"/>
      <c r="E100" s="13"/>
      <c r="F100" s="19"/>
      <c r="G100" s="19" t="s">
        <v>70</v>
      </c>
      <c r="H100" s="13"/>
    </row>
    <row r="101">
      <c r="B101" s="13"/>
      <c r="C101" s="13"/>
      <c r="D101" s="13"/>
      <c r="E101" s="13"/>
      <c r="F101" s="19"/>
      <c r="G101" s="19" t="s">
        <v>70</v>
      </c>
      <c r="H101" s="13"/>
    </row>
    <row r="102">
      <c r="B102" s="13"/>
      <c r="C102" s="13"/>
      <c r="D102" s="13"/>
      <c r="E102" s="13"/>
      <c r="F102" s="19"/>
      <c r="G102" s="19" t="s">
        <v>70</v>
      </c>
      <c r="H102" s="13"/>
    </row>
    <row r="103">
      <c r="B103" s="13"/>
      <c r="C103" s="13"/>
      <c r="D103" s="13"/>
      <c r="E103" s="13"/>
      <c r="F103" s="19"/>
      <c r="G103" s="19" t="s">
        <v>70</v>
      </c>
      <c r="H103" s="13"/>
    </row>
    <row r="104">
      <c r="B104" s="13"/>
      <c r="C104" s="13"/>
      <c r="D104" s="13"/>
      <c r="E104" s="13"/>
      <c r="F104" s="19"/>
      <c r="G104" s="19" t="s">
        <v>70</v>
      </c>
      <c r="H104" s="13"/>
    </row>
    <row r="105">
      <c r="B105" s="13"/>
      <c r="C105" s="13"/>
      <c r="D105" s="13"/>
      <c r="E105" s="13"/>
      <c r="F105" s="19"/>
      <c r="G105" s="19" t="s">
        <v>70</v>
      </c>
      <c r="H105" s="13"/>
    </row>
    <row r="106">
      <c r="B106" s="13"/>
      <c r="C106" s="13"/>
      <c r="D106" s="13"/>
      <c r="E106" s="13"/>
      <c r="F106" s="19"/>
      <c r="G106" s="19" t="s">
        <v>70</v>
      </c>
      <c r="H106" s="13"/>
    </row>
    <row r="107">
      <c r="B107" s="13"/>
      <c r="C107" s="13"/>
      <c r="D107" s="13"/>
      <c r="E107" s="13"/>
      <c r="F107" s="19"/>
      <c r="G107" s="19" t="s">
        <v>70</v>
      </c>
      <c r="H107" s="13"/>
    </row>
    <row r="108">
      <c r="B108" s="13"/>
      <c r="C108" s="13"/>
      <c r="D108" s="13"/>
      <c r="E108" s="13"/>
      <c r="F108" s="19"/>
      <c r="G108" s="19" t="s">
        <v>70</v>
      </c>
      <c r="H108" s="13"/>
    </row>
    <row r="109">
      <c r="B109" s="13"/>
      <c r="C109" s="13"/>
      <c r="D109" s="13"/>
      <c r="E109" s="13"/>
      <c r="F109" s="19"/>
      <c r="G109" s="19" t="s">
        <v>70</v>
      </c>
      <c r="H109" s="13"/>
    </row>
    <row r="110">
      <c r="B110" s="13"/>
      <c r="C110" s="13"/>
      <c r="D110" s="13"/>
      <c r="E110" s="13"/>
      <c r="F110" s="19"/>
      <c r="G110" s="19" t="s">
        <v>70</v>
      </c>
      <c r="H110" s="13"/>
    </row>
    <row r="111">
      <c r="B111" s="13"/>
      <c r="C111" s="13"/>
      <c r="D111" s="13"/>
      <c r="E111" s="13"/>
      <c r="F111" s="19"/>
      <c r="G111" s="19" t="s">
        <v>70</v>
      </c>
      <c r="H111" s="13"/>
    </row>
    <row r="112">
      <c r="B112" s="13"/>
      <c r="C112" s="13"/>
      <c r="D112" s="13"/>
      <c r="E112" s="13"/>
      <c r="F112" s="19"/>
      <c r="G112" s="19" t="s">
        <v>70</v>
      </c>
      <c r="H112" s="13"/>
    </row>
    <row r="113">
      <c r="B113" s="13"/>
      <c r="C113" s="13"/>
      <c r="D113" s="13"/>
      <c r="E113" s="13"/>
      <c r="F113" s="19"/>
      <c r="G113" s="19" t="s">
        <v>70</v>
      </c>
      <c r="H113" s="13"/>
    </row>
    <row r="114">
      <c r="B114" s="13"/>
      <c r="C114" s="13"/>
      <c r="D114" s="13"/>
      <c r="E114" s="13"/>
      <c r="F114" s="19"/>
      <c r="G114" s="19" t="s">
        <v>70</v>
      </c>
      <c r="H114" s="13"/>
    </row>
    <row r="115">
      <c r="B115" s="13"/>
      <c r="C115" s="13"/>
      <c r="D115" s="13"/>
      <c r="E115" s="13"/>
      <c r="F115" s="19"/>
      <c r="G115" s="19" t="s">
        <v>70</v>
      </c>
      <c r="H115" s="13"/>
    </row>
    <row r="116">
      <c r="B116" s="13"/>
      <c r="C116" s="13"/>
      <c r="D116" s="13"/>
      <c r="E116" s="13"/>
      <c r="F116" s="19"/>
      <c r="G116" s="19" t="s">
        <v>70</v>
      </c>
      <c r="H116" s="13"/>
    </row>
    <row r="117">
      <c r="B117" s="13"/>
      <c r="C117" s="13"/>
      <c r="D117" s="13"/>
      <c r="E117" s="13"/>
      <c r="F117" s="19"/>
      <c r="G117" s="19" t="s">
        <v>70</v>
      </c>
      <c r="H117" s="13"/>
    </row>
    <row r="118">
      <c r="B118" s="13"/>
      <c r="C118" s="13"/>
      <c r="D118" s="13"/>
      <c r="E118" s="13"/>
      <c r="F118" s="19"/>
      <c r="G118" s="19" t="s">
        <v>70</v>
      </c>
      <c r="H118" s="13"/>
    </row>
    <row r="119">
      <c r="B119" s="13"/>
      <c r="C119" s="13"/>
      <c r="D119" s="13"/>
      <c r="E119" s="13"/>
      <c r="F119" s="19"/>
      <c r="G119" s="19" t="s">
        <v>70</v>
      </c>
      <c r="H119" s="13"/>
    </row>
    <row r="120">
      <c r="B120" s="13"/>
      <c r="C120" s="13"/>
      <c r="D120" s="13"/>
      <c r="E120" s="13"/>
      <c r="F120" s="19"/>
      <c r="G120" s="19" t="s">
        <v>70</v>
      </c>
      <c r="H120" s="13"/>
    </row>
    <row r="121">
      <c r="B121" s="13"/>
      <c r="C121" s="13"/>
      <c r="D121" s="13"/>
      <c r="E121" s="13"/>
      <c r="F121" s="19"/>
      <c r="G121" s="19" t="s">
        <v>70</v>
      </c>
      <c r="H121" s="13"/>
    </row>
    <row r="122">
      <c r="B122" s="13"/>
      <c r="C122" s="13"/>
      <c r="D122" s="13"/>
      <c r="E122" s="13"/>
      <c r="F122" s="19"/>
      <c r="G122" s="19" t="s">
        <v>70</v>
      </c>
      <c r="H122" s="13"/>
    </row>
    <row r="123">
      <c r="B123" s="13"/>
      <c r="C123" s="13"/>
      <c r="D123" s="13"/>
      <c r="E123" s="13"/>
      <c r="F123" s="19"/>
      <c r="G123" s="19" t="s">
        <v>70</v>
      </c>
      <c r="H123" s="13"/>
    </row>
    <row r="124">
      <c r="B124" s="13"/>
      <c r="C124" s="13"/>
      <c r="D124" s="13"/>
      <c r="E124" s="13"/>
      <c r="F124" s="19"/>
      <c r="G124" s="19" t="s">
        <v>70</v>
      </c>
      <c r="H124" s="13"/>
    </row>
    <row r="125">
      <c r="B125" s="13"/>
      <c r="C125" s="13"/>
      <c r="D125" s="13"/>
      <c r="E125" s="13"/>
      <c r="F125" s="19"/>
      <c r="G125" s="19" t="s">
        <v>70</v>
      </c>
      <c r="H125" s="13"/>
    </row>
    <row r="126">
      <c r="B126" s="13"/>
      <c r="C126" s="13"/>
      <c r="D126" s="13"/>
      <c r="E126" s="13"/>
      <c r="F126" s="19"/>
      <c r="G126" s="19" t="s">
        <v>70</v>
      </c>
      <c r="H126" s="13"/>
    </row>
    <row r="127">
      <c r="B127" s="13"/>
      <c r="C127" s="13"/>
      <c r="D127" s="13"/>
      <c r="E127" s="13"/>
      <c r="F127" s="19"/>
      <c r="G127" s="19" t="s">
        <v>70</v>
      </c>
      <c r="H127" s="13"/>
    </row>
    <row r="128">
      <c r="B128" s="13"/>
      <c r="C128" s="13"/>
      <c r="D128" s="13"/>
      <c r="E128" s="13"/>
      <c r="F128" s="19"/>
      <c r="G128" s="19" t="s">
        <v>70</v>
      </c>
      <c r="H128" s="13"/>
    </row>
    <row r="129">
      <c r="B129" s="13"/>
      <c r="C129" s="13"/>
      <c r="D129" s="13"/>
      <c r="E129" s="13"/>
      <c r="F129" s="19"/>
      <c r="G129" s="19" t="s">
        <v>70</v>
      </c>
      <c r="H129" s="13"/>
    </row>
    <row r="130">
      <c r="B130" s="13"/>
      <c r="C130" s="13"/>
      <c r="D130" s="13"/>
      <c r="E130" s="13"/>
      <c r="F130" s="19"/>
      <c r="G130" s="19" t="s">
        <v>70</v>
      </c>
      <c r="H130" s="13"/>
    </row>
    <row r="131">
      <c r="B131" s="13"/>
      <c r="C131" s="13"/>
      <c r="D131" s="13"/>
      <c r="E131" s="13"/>
      <c r="F131" s="19"/>
      <c r="G131" s="19" t="s">
        <v>70</v>
      </c>
      <c r="H131" s="13"/>
    </row>
    <row r="132">
      <c r="B132" s="13"/>
      <c r="C132" s="13"/>
      <c r="D132" s="13"/>
      <c r="E132" s="13"/>
      <c r="F132" s="19"/>
      <c r="G132" s="19" t="s">
        <v>70</v>
      </c>
      <c r="H132" s="13"/>
    </row>
    <row r="133">
      <c r="B133" s="13"/>
      <c r="C133" s="13"/>
      <c r="D133" s="13"/>
      <c r="E133" s="13"/>
      <c r="F133" s="19"/>
      <c r="G133" s="19" t="s">
        <v>70</v>
      </c>
      <c r="H133" s="13"/>
    </row>
    <row r="134">
      <c r="B134" s="13"/>
      <c r="C134" s="13"/>
      <c r="D134" s="13"/>
      <c r="E134" s="13"/>
      <c r="F134" s="19"/>
      <c r="G134" s="19" t="s">
        <v>70</v>
      </c>
      <c r="H134" s="13"/>
    </row>
    <row r="135">
      <c r="B135" s="13"/>
      <c r="C135" s="13"/>
      <c r="D135" s="13"/>
      <c r="E135" s="13"/>
      <c r="F135" s="19"/>
      <c r="G135" s="19" t="s">
        <v>70</v>
      </c>
      <c r="H135" s="13"/>
    </row>
    <row r="136">
      <c r="B136" s="13"/>
      <c r="C136" s="13"/>
      <c r="D136" s="13"/>
      <c r="E136" s="13"/>
      <c r="F136" s="19"/>
      <c r="G136" s="19" t="s">
        <v>70</v>
      </c>
      <c r="H136" s="13"/>
    </row>
    <row r="137">
      <c r="B137" s="13"/>
      <c r="C137" s="13"/>
      <c r="D137" s="13"/>
      <c r="E137" s="13"/>
      <c r="F137" s="19"/>
      <c r="G137" s="19" t="s">
        <v>70</v>
      </c>
      <c r="H137" s="13"/>
    </row>
    <row r="138">
      <c r="B138" s="13"/>
      <c r="C138" s="13"/>
      <c r="D138" s="13"/>
      <c r="E138" s="13"/>
      <c r="F138" s="19"/>
      <c r="G138" s="19" t="s">
        <v>70</v>
      </c>
      <c r="H138" s="13"/>
    </row>
    <row r="139">
      <c r="B139" s="13"/>
      <c r="C139" s="13"/>
      <c r="D139" s="13"/>
      <c r="E139" s="13"/>
      <c r="F139" s="19"/>
      <c r="G139" s="19" t="s">
        <v>70</v>
      </c>
      <c r="H139" s="13"/>
    </row>
    <row r="140">
      <c r="B140" s="13"/>
      <c r="C140" s="13"/>
      <c r="D140" s="13"/>
      <c r="E140" s="13"/>
      <c r="F140" s="19"/>
      <c r="G140" s="19" t="s">
        <v>70</v>
      </c>
      <c r="H140" s="13"/>
    </row>
    <row r="141">
      <c r="B141" s="13"/>
      <c r="C141" s="13"/>
      <c r="D141" s="13"/>
      <c r="E141" s="13"/>
      <c r="F141" s="19"/>
      <c r="G141" s="19" t="s">
        <v>70</v>
      </c>
      <c r="H141" s="13"/>
    </row>
    <row r="142">
      <c r="B142" s="13"/>
      <c r="C142" s="13"/>
      <c r="D142" s="13"/>
      <c r="E142" s="13"/>
      <c r="F142" s="19"/>
      <c r="G142" s="19" t="s">
        <v>70</v>
      </c>
      <c r="H142" s="13"/>
    </row>
    <row r="143">
      <c r="B143" s="13"/>
      <c r="C143" s="13"/>
      <c r="D143" s="13"/>
      <c r="E143" s="13"/>
      <c r="F143" s="19"/>
      <c r="G143" s="19" t="s">
        <v>70</v>
      </c>
      <c r="H143" s="13"/>
    </row>
    <row r="144">
      <c r="B144" s="13"/>
      <c r="C144" s="13"/>
      <c r="D144" s="13"/>
      <c r="E144" s="13"/>
      <c r="F144" s="19"/>
      <c r="G144" s="19" t="s">
        <v>70</v>
      </c>
      <c r="H144" s="13"/>
    </row>
    <row r="145">
      <c r="B145" s="13"/>
      <c r="C145" s="13"/>
      <c r="D145" s="13"/>
      <c r="E145" s="13"/>
      <c r="F145" s="19"/>
      <c r="G145" s="19" t="s">
        <v>70</v>
      </c>
      <c r="H145" s="13"/>
    </row>
    <row r="146">
      <c r="B146" s="13"/>
      <c r="C146" s="13"/>
      <c r="D146" s="13"/>
      <c r="E146" s="13"/>
      <c r="F146" s="19"/>
      <c r="G146" s="19" t="s">
        <v>70</v>
      </c>
      <c r="H146" s="13"/>
    </row>
    <row r="147">
      <c r="B147" s="13"/>
      <c r="C147" s="13"/>
      <c r="D147" s="13"/>
      <c r="E147" s="13"/>
      <c r="F147" s="19"/>
      <c r="G147" s="19" t="s">
        <v>70</v>
      </c>
      <c r="H147" s="13"/>
    </row>
    <row r="148">
      <c r="B148" s="13"/>
      <c r="C148" s="13"/>
      <c r="D148" s="13"/>
      <c r="E148" s="13"/>
      <c r="F148" s="19"/>
      <c r="G148" s="19" t="s">
        <v>70</v>
      </c>
      <c r="H148" s="13"/>
    </row>
    <row r="149">
      <c r="B149" s="13"/>
      <c r="C149" s="13"/>
      <c r="D149" s="13"/>
      <c r="E149" s="13"/>
      <c r="F149" s="19"/>
      <c r="G149" s="19" t="s">
        <v>70</v>
      </c>
      <c r="H149" s="13"/>
    </row>
    <row r="150">
      <c r="B150" s="13"/>
      <c r="C150" s="13"/>
      <c r="D150" s="13"/>
      <c r="E150" s="13"/>
      <c r="F150" s="19"/>
      <c r="G150" s="19" t="s">
        <v>70</v>
      </c>
      <c r="H150" s="13"/>
    </row>
    <row r="151">
      <c r="B151" s="13"/>
      <c r="C151" s="13"/>
      <c r="D151" s="13"/>
      <c r="E151" s="13"/>
      <c r="F151" s="19"/>
      <c r="G151" s="19" t="s">
        <v>70</v>
      </c>
      <c r="H151" s="13"/>
    </row>
    <row r="152">
      <c r="B152" s="13"/>
      <c r="C152" s="13"/>
      <c r="D152" s="13"/>
      <c r="E152" s="13"/>
      <c r="F152" s="19"/>
      <c r="G152" s="19" t="s">
        <v>70</v>
      </c>
      <c r="H152" s="13"/>
    </row>
    <row r="153">
      <c r="B153" s="13"/>
      <c r="C153" s="13"/>
      <c r="D153" s="13"/>
      <c r="E153" s="13"/>
      <c r="F153" s="19"/>
      <c r="G153" s="19" t="s">
        <v>70</v>
      </c>
      <c r="H153" s="13"/>
    </row>
    <row r="154">
      <c r="B154" s="13"/>
      <c r="C154" s="13"/>
      <c r="D154" s="13"/>
      <c r="E154" s="13"/>
      <c r="F154" s="19"/>
      <c r="G154" s="19" t="s">
        <v>70</v>
      </c>
      <c r="H154" s="13"/>
    </row>
    <row r="155">
      <c r="B155" s="13"/>
      <c r="C155" s="13"/>
      <c r="D155" s="13"/>
      <c r="E155" s="13"/>
      <c r="F155" s="19"/>
      <c r="G155" s="19" t="s">
        <v>70</v>
      </c>
      <c r="H155" s="13"/>
    </row>
    <row r="156">
      <c r="B156" s="13"/>
      <c r="C156" s="13"/>
      <c r="D156" s="13"/>
      <c r="E156" s="13"/>
      <c r="F156" s="19"/>
      <c r="G156" s="19" t="s">
        <v>70</v>
      </c>
      <c r="H156" s="13"/>
    </row>
    <row r="157">
      <c r="B157" s="13"/>
      <c r="C157" s="13"/>
      <c r="D157" s="13"/>
      <c r="E157" s="13"/>
      <c r="F157" s="19"/>
      <c r="G157" s="19" t="s">
        <v>70</v>
      </c>
      <c r="H157" s="13"/>
    </row>
    <row r="158">
      <c r="B158" s="13"/>
      <c r="C158" s="13"/>
      <c r="D158" s="13"/>
      <c r="E158" s="13"/>
      <c r="F158" s="19"/>
      <c r="G158" s="19" t="s">
        <v>70</v>
      </c>
      <c r="H158" s="13"/>
    </row>
    <row r="159">
      <c r="B159" s="13"/>
      <c r="C159" s="13"/>
      <c r="D159" s="13"/>
      <c r="E159" s="13"/>
      <c r="F159" s="19"/>
      <c r="G159" s="19" t="s">
        <v>70</v>
      </c>
      <c r="H159" s="13"/>
    </row>
    <row r="160">
      <c r="B160" s="13"/>
      <c r="C160" s="13"/>
      <c r="D160" s="13"/>
      <c r="E160" s="13"/>
      <c r="F160" s="19"/>
      <c r="G160" s="19" t="s">
        <v>70</v>
      </c>
      <c r="H160" s="13"/>
    </row>
    <row r="161">
      <c r="B161" s="13"/>
      <c r="C161" s="13"/>
      <c r="D161" s="13"/>
      <c r="E161" s="13"/>
      <c r="F161" s="19"/>
      <c r="G161" s="19" t="s">
        <v>70</v>
      </c>
      <c r="H161" s="13"/>
    </row>
    <row r="162">
      <c r="B162" s="13"/>
      <c r="C162" s="13"/>
      <c r="D162" s="13"/>
      <c r="E162" s="13"/>
      <c r="F162" s="19"/>
      <c r="G162" s="19" t="s">
        <v>70</v>
      </c>
      <c r="H162" s="13"/>
    </row>
    <row r="163">
      <c r="B163" s="13"/>
      <c r="C163" s="13"/>
      <c r="D163" s="13"/>
      <c r="E163" s="13"/>
      <c r="F163" s="19"/>
      <c r="G163" s="19" t="s">
        <v>70</v>
      </c>
      <c r="H163" s="13"/>
    </row>
    <row r="164">
      <c r="B164" s="13"/>
      <c r="C164" s="13"/>
      <c r="D164" s="13"/>
      <c r="E164" s="13"/>
      <c r="F164" s="19"/>
      <c r="G164" s="19" t="s">
        <v>70</v>
      </c>
      <c r="H164" s="13"/>
    </row>
    <row r="165">
      <c r="B165" s="13"/>
      <c r="C165" s="13"/>
      <c r="D165" s="13"/>
      <c r="E165" s="13"/>
      <c r="F165" s="19"/>
      <c r="G165" s="19" t="s">
        <v>70</v>
      </c>
      <c r="H165" s="13"/>
    </row>
    <row r="166">
      <c r="B166" s="13"/>
      <c r="C166" s="13"/>
      <c r="D166" s="13"/>
      <c r="E166" s="13"/>
      <c r="F166" s="19"/>
      <c r="G166" s="19" t="s">
        <v>70</v>
      </c>
      <c r="H166" s="13"/>
    </row>
    <row r="167">
      <c r="B167" s="13"/>
      <c r="C167" s="13"/>
      <c r="D167" s="13"/>
      <c r="E167" s="13"/>
      <c r="F167" s="19"/>
      <c r="G167" s="19" t="s">
        <v>70</v>
      </c>
      <c r="H167" s="13"/>
    </row>
    <row r="168">
      <c r="B168" s="13"/>
      <c r="C168" s="13"/>
      <c r="D168" s="13"/>
      <c r="E168" s="13"/>
      <c r="F168" s="19"/>
      <c r="G168" s="19" t="s">
        <v>70</v>
      </c>
      <c r="H168" s="13"/>
    </row>
    <row r="169">
      <c r="B169" s="13"/>
      <c r="C169" s="13"/>
      <c r="D169" s="13"/>
      <c r="E169" s="13"/>
      <c r="F169" s="19"/>
      <c r="G169" s="19" t="s">
        <v>70</v>
      </c>
      <c r="H169" s="13"/>
    </row>
    <row r="170">
      <c r="B170" s="13"/>
      <c r="C170" s="13"/>
      <c r="D170" s="13"/>
      <c r="E170" s="13"/>
      <c r="F170" s="19"/>
      <c r="G170" s="19" t="s">
        <v>70</v>
      </c>
      <c r="H170" s="13"/>
    </row>
    <row r="171">
      <c r="B171" s="13"/>
      <c r="C171" s="13"/>
      <c r="D171" s="13"/>
      <c r="E171" s="13"/>
      <c r="F171" s="19"/>
      <c r="G171" s="19" t="s">
        <v>70</v>
      </c>
      <c r="H171" s="13"/>
    </row>
    <row r="172">
      <c r="B172" s="13"/>
      <c r="C172" s="13"/>
      <c r="D172" s="13"/>
      <c r="E172" s="13"/>
      <c r="F172" s="19"/>
      <c r="G172" s="19" t="s">
        <v>70</v>
      </c>
      <c r="H172" s="13"/>
    </row>
    <row r="173">
      <c r="B173" s="13"/>
      <c r="C173" s="13"/>
      <c r="D173" s="13"/>
      <c r="E173" s="13"/>
      <c r="F173" s="19"/>
      <c r="G173" s="19" t="s">
        <v>70</v>
      </c>
      <c r="H173" s="13"/>
    </row>
    <row r="174">
      <c r="B174" s="13"/>
      <c r="C174" s="13"/>
      <c r="D174" s="13"/>
      <c r="E174" s="13"/>
      <c r="F174" s="19"/>
      <c r="G174" s="19" t="s">
        <v>70</v>
      </c>
      <c r="H174" s="13"/>
    </row>
    <row r="175">
      <c r="B175" s="13"/>
      <c r="C175" s="13"/>
      <c r="D175" s="13"/>
      <c r="E175" s="13"/>
      <c r="F175" s="19"/>
      <c r="G175" s="19" t="s">
        <v>70</v>
      </c>
      <c r="H175" s="13"/>
    </row>
    <row r="176">
      <c r="B176" s="13"/>
      <c r="C176" s="13"/>
      <c r="D176" s="13"/>
      <c r="E176" s="13"/>
      <c r="F176" s="19"/>
      <c r="G176" s="19" t="s">
        <v>70</v>
      </c>
      <c r="H176" s="13"/>
    </row>
    <row r="177">
      <c r="B177" s="13"/>
      <c r="C177" s="13"/>
      <c r="D177" s="13"/>
      <c r="E177" s="13"/>
      <c r="F177" s="19"/>
      <c r="G177" s="19" t="s">
        <v>70</v>
      </c>
      <c r="H177" s="13"/>
    </row>
    <row r="178">
      <c r="B178" s="13"/>
      <c r="C178" s="13"/>
      <c r="D178" s="13"/>
      <c r="E178" s="13"/>
      <c r="F178" s="19"/>
      <c r="G178" s="19" t="s">
        <v>70</v>
      </c>
      <c r="H178" s="13"/>
    </row>
    <row r="179">
      <c r="B179" s="13"/>
      <c r="C179" s="13"/>
      <c r="D179" s="13"/>
      <c r="E179" s="13"/>
      <c r="F179" s="19"/>
      <c r="G179" s="19" t="s">
        <v>70</v>
      </c>
      <c r="H179" s="13"/>
    </row>
    <row r="180">
      <c r="B180" s="13"/>
      <c r="C180" s="13"/>
      <c r="D180" s="13"/>
      <c r="E180" s="13"/>
      <c r="F180" s="19"/>
      <c r="G180" s="19" t="s">
        <v>70</v>
      </c>
      <c r="H180" s="13"/>
    </row>
    <row r="181">
      <c r="B181" s="13"/>
      <c r="C181" s="13"/>
      <c r="D181" s="13"/>
      <c r="E181" s="13"/>
      <c r="F181" s="19"/>
      <c r="G181" s="19" t="s">
        <v>70</v>
      </c>
      <c r="H181" s="13"/>
    </row>
    <row r="182">
      <c r="B182" s="13"/>
      <c r="C182" s="13"/>
      <c r="D182" s="13"/>
      <c r="E182" s="13"/>
      <c r="F182" s="19"/>
      <c r="G182" s="19" t="s">
        <v>70</v>
      </c>
      <c r="H182" s="13"/>
    </row>
    <row r="183">
      <c r="B183" s="13"/>
      <c r="C183" s="13"/>
      <c r="D183" s="13"/>
      <c r="E183" s="13"/>
      <c r="F183" s="19"/>
      <c r="G183" s="19" t="s">
        <v>70</v>
      </c>
      <c r="H183" s="13"/>
    </row>
    <row r="184">
      <c r="B184" s="13"/>
      <c r="C184" s="13"/>
      <c r="D184" s="13"/>
      <c r="E184" s="13"/>
      <c r="F184" s="19"/>
      <c r="G184" s="19" t="s">
        <v>70</v>
      </c>
      <c r="H184" s="13"/>
    </row>
    <row r="185">
      <c r="B185" s="13"/>
      <c r="C185" s="13"/>
      <c r="D185" s="13"/>
      <c r="E185" s="13"/>
      <c r="F185" s="19"/>
      <c r="G185" s="19" t="s">
        <v>70</v>
      </c>
      <c r="H185" s="13"/>
    </row>
    <row r="186">
      <c r="B186" s="13"/>
      <c r="C186" s="13"/>
      <c r="D186" s="13"/>
      <c r="E186" s="13"/>
      <c r="F186" s="19"/>
      <c r="G186" s="19" t="s">
        <v>70</v>
      </c>
      <c r="H186" s="13"/>
    </row>
    <row r="187">
      <c r="B187" s="13"/>
      <c r="C187" s="13"/>
      <c r="D187" s="13"/>
      <c r="E187" s="13"/>
      <c r="F187" s="19"/>
      <c r="G187" s="19" t="s">
        <v>70</v>
      </c>
      <c r="H187" s="13"/>
    </row>
    <row r="188">
      <c r="B188" s="13"/>
      <c r="C188" s="13"/>
      <c r="D188" s="13"/>
      <c r="E188" s="13"/>
      <c r="F188" s="19"/>
      <c r="G188" s="19" t="s">
        <v>70</v>
      </c>
      <c r="H188" s="13"/>
    </row>
    <row r="189">
      <c r="B189" s="13"/>
      <c r="C189" s="13"/>
      <c r="D189" s="13"/>
      <c r="E189" s="13"/>
      <c r="F189" s="19"/>
      <c r="G189" s="19" t="s">
        <v>70</v>
      </c>
      <c r="H189" s="13"/>
    </row>
    <row r="190">
      <c r="B190" s="13"/>
      <c r="C190" s="13"/>
      <c r="D190" s="13"/>
      <c r="E190" s="13"/>
      <c r="F190" s="19"/>
      <c r="G190" s="19" t="s">
        <v>70</v>
      </c>
      <c r="H190" s="13"/>
    </row>
    <row r="191">
      <c r="B191" s="13"/>
      <c r="C191" s="13"/>
      <c r="D191" s="13"/>
      <c r="E191" s="13"/>
      <c r="F191" s="19"/>
      <c r="G191" s="19" t="s">
        <v>70</v>
      </c>
      <c r="H191" s="13"/>
    </row>
    <row r="192">
      <c r="B192" s="13"/>
      <c r="C192" s="13"/>
      <c r="D192" s="13"/>
      <c r="E192" s="13"/>
      <c r="F192" s="19"/>
      <c r="G192" s="19" t="s">
        <v>70</v>
      </c>
      <c r="H192" s="13"/>
    </row>
    <row r="193">
      <c r="B193" s="13"/>
      <c r="C193" s="13"/>
      <c r="D193" s="13"/>
      <c r="E193" s="13"/>
      <c r="F193" s="19"/>
      <c r="G193" s="19" t="s">
        <v>70</v>
      </c>
      <c r="H193" s="13"/>
    </row>
    <row r="194">
      <c r="B194" s="13"/>
      <c r="C194" s="13"/>
      <c r="D194" s="13"/>
      <c r="E194" s="13"/>
      <c r="F194" s="19"/>
      <c r="G194" s="19" t="s">
        <v>70</v>
      </c>
      <c r="H194" s="13"/>
    </row>
    <row r="195">
      <c r="B195" s="13"/>
      <c r="C195" s="13"/>
      <c r="D195" s="13"/>
      <c r="E195" s="13"/>
      <c r="F195" s="19"/>
      <c r="G195" s="19" t="s">
        <v>70</v>
      </c>
      <c r="H195" s="13"/>
    </row>
    <row r="196">
      <c r="B196" s="13"/>
      <c r="C196" s="13"/>
      <c r="D196" s="13"/>
      <c r="E196" s="13"/>
      <c r="F196" s="19"/>
      <c r="G196" s="19" t="s">
        <v>70</v>
      </c>
      <c r="H196" s="13"/>
    </row>
    <row r="197">
      <c r="B197" s="13"/>
      <c r="C197" s="13"/>
      <c r="D197" s="13"/>
      <c r="E197" s="13"/>
      <c r="F197" s="19"/>
      <c r="G197" s="19" t="s">
        <v>70</v>
      </c>
      <c r="H197" s="13"/>
    </row>
    <row r="198">
      <c r="B198" s="13"/>
      <c r="C198" s="13"/>
      <c r="D198" s="13"/>
      <c r="E198" s="13"/>
      <c r="F198" s="19"/>
      <c r="G198" s="19" t="s">
        <v>70</v>
      </c>
      <c r="H198" s="13"/>
    </row>
    <row r="199">
      <c r="B199" s="13"/>
      <c r="C199" s="13"/>
      <c r="D199" s="13"/>
      <c r="E199" s="13"/>
      <c r="F199" s="19"/>
      <c r="G199" s="19" t="s">
        <v>70</v>
      </c>
      <c r="H199" s="13"/>
    </row>
    <row r="200">
      <c r="B200" s="13"/>
      <c r="C200" s="13"/>
      <c r="D200" s="13"/>
      <c r="E200" s="13"/>
      <c r="F200" s="19"/>
      <c r="G200" s="19" t="s">
        <v>70</v>
      </c>
      <c r="H200" s="13"/>
    </row>
    <row r="201">
      <c r="B201" s="13"/>
      <c r="C201" s="13"/>
      <c r="D201" s="13"/>
      <c r="E201" s="13"/>
      <c r="F201" s="19"/>
      <c r="G201" s="19" t="s">
        <v>70</v>
      </c>
      <c r="H201" s="13"/>
    </row>
    <row r="202">
      <c r="B202" s="13"/>
      <c r="C202" s="13"/>
      <c r="D202" s="13"/>
      <c r="E202" s="13"/>
      <c r="F202" s="19"/>
      <c r="G202" s="19" t="s">
        <v>70</v>
      </c>
      <c r="H202" s="13"/>
    </row>
    <row r="203">
      <c r="B203" s="13"/>
      <c r="C203" s="13"/>
      <c r="D203" s="13"/>
      <c r="E203" s="13"/>
      <c r="F203" s="19"/>
      <c r="G203" s="19" t="s">
        <v>70</v>
      </c>
      <c r="H203" s="13"/>
    </row>
    <row r="204">
      <c r="B204" s="13"/>
      <c r="C204" s="13"/>
      <c r="D204" s="13"/>
      <c r="E204" s="13"/>
      <c r="F204" s="19"/>
      <c r="G204" s="19" t="s">
        <v>70</v>
      </c>
      <c r="H204" s="13"/>
    </row>
    <row r="205">
      <c r="B205" s="13"/>
      <c r="C205" s="13"/>
      <c r="D205" s="13"/>
      <c r="E205" s="13"/>
      <c r="F205" s="19"/>
      <c r="G205" s="19" t="s">
        <v>70</v>
      </c>
      <c r="H205" s="13"/>
    </row>
  </sheetData>
  <mergeCells count="1">
    <mergeCell ref="B2:H2"/>
  </mergeCells>
  <dataValidations>
    <dataValidation type="list" allowBlank="1" showErrorMessage="1" sqref="H6:H205">
      <formula1>"New,Good,Fair,Poor"</formula1>
    </dataValidation>
    <dataValidation type="list" allowBlank="1" showErrorMessage="1" sqref="D6:D205">
      <formula1>"Furniture,Electronics,Stationery,Sports"</formula1>
    </dataValidation>
  </dataValidations>
  <drawing r:id="rId1"/>
  <tableParts count="1">
    <tablePart r:id="rId3"/>
  </tableParts>
</worksheet>
</file>