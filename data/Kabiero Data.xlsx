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 activeTab="4"/>
  </bookViews>
  <sheets>
    <sheet name="Data Entry" sheetId="1" r:id="rId1"/>
    <sheet name="Grade Summary" sheetId="2" r:id="rId2"/>
    <sheet name="Staff Directory" sheetId="3" r:id="rId3"/>
    <sheet name="Inventory Tracker" sheetId="4" r:id="rId4"/>
    <sheet name="Fee Structur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<sst xmlns="http://schemas.openxmlformats.org/spreadsheetml/2006/main" count="1045" uniqueCount="518">
  <si>
    <t>STUDENT DATA COLLECTION</t>
  </si>
  <si>
    <t>Total Students Entered:</t>
  </si>
  <si>
    <t>Total Fee Balance:</t>
  </si>
  <si>
    <t>Adm No</t>
  </si>
  <si>
    <t>Student Name</t>
  </si>
  <si>
    <t>Grade</t>
  </si>
  <si>
    <t>Fee Balance</t>
  </si>
  <si>
    <t>Parent Name</t>
  </si>
  <si>
    <t>Parent Phone No</t>
  </si>
  <si>
    <t>Cleons Klein</t>
  </si>
  <si>
    <t>Playgroup</t>
  </si>
  <si>
    <t>Jayden Makworo</t>
  </si>
  <si>
    <t>Cleared</t>
  </si>
  <si>
    <t>Shirleen Nyatero</t>
  </si>
  <si>
    <t>Eddah Moraa</t>
  </si>
  <si>
    <t>Anita Osoro</t>
  </si>
  <si>
    <t>Victor Monari</t>
  </si>
  <si>
    <t>Merrane Kwamboka</t>
  </si>
  <si>
    <t>John Chweya</t>
  </si>
  <si>
    <t>0726690763</t>
  </si>
  <si>
    <t>Giannah Moraa</t>
  </si>
  <si>
    <t>KES 1,000.00</t>
  </si>
  <si>
    <t>Evans Nyamweya</t>
  </si>
  <si>
    <t>0796929168</t>
  </si>
  <si>
    <t>Fabian Mochoni</t>
  </si>
  <si>
    <t>Emmanuel Braxley</t>
  </si>
  <si>
    <t>Jayden Obegi</t>
  </si>
  <si>
    <t>KES 1,400.00</t>
  </si>
  <si>
    <t>Leon Mose</t>
  </si>
  <si>
    <t>Blessings Nyabate</t>
  </si>
  <si>
    <t>Holy Bless Lucky</t>
  </si>
  <si>
    <t>Justus Mageto</t>
  </si>
  <si>
    <t>0711959810</t>
  </si>
  <si>
    <t>Georges Ongera</t>
  </si>
  <si>
    <t>Emmanuel Nyonkangi</t>
  </si>
  <si>
    <t>Peter Nyokangi</t>
  </si>
  <si>
    <t>0714082361</t>
  </si>
  <si>
    <t>Melvin Nyantika</t>
  </si>
  <si>
    <t>Atika Mageto</t>
  </si>
  <si>
    <t>0742785135</t>
  </si>
  <si>
    <t>Lucas Nyabuto</t>
  </si>
  <si>
    <t>KES 1,100.00</t>
  </si>
  <si>
    <t>Vincent Akunga</t>
  </si>
  <si>
    <t>0798982805</t>
  </si>
  <si>
    <t>Grayson Thomas</t>
  </si>
  <si>
    <t>Ezekiel Ongodi</t>
  </si>
  <si>
    <t>Tiffan Kerubo</t>
  </si>
  <si>
    <t>KES 2,200.00</t>
  </si>
  <si>
    <t>Allen Alloys</t>
  </si>
  <si>
    <t>KES 3,200.00</t>
  </si>
  <si>
    <t>Ann Kerubo</t>
  </si>
  <si>
    <t>0700537100</t>
  </si>
  <si>
    <t>Precious Bosibori</t>
  </si>
  <si>
    <t>Magdaline Zakayo</t>
  </si>
  <si>
    <t>Zakayo Anyango</t>
  </si>
  <si>
    <t>0721289001</t>
  </si>
  <si>
    <t>Titus Ochara</t>
  </si>
  <si>
    <t>Ian Makana</t>
  </si>
  <si>
    <t>KES 2,800.00</t>
  </si>
  <si>
    <t>Austine Orioki</t>
  </si>
  <si>
    <t>PP1</t>
  </si>
  <si>
    <t>Jayden Angwenyi</t>
  </si>
  <si>
    <t>Shem Nyanamba</t>
  </si>
  <si>
    <t>Perpetua Kerubo</t>
  </si>
  <si>
    <t>Wendy Favour</t>
  </si>
  <si>
    <t>KES 2,900.00</t>
  </si>
  <si>
    <t>Rachael Anthony</t>
  </si>
  <si>
    <t>Ruthmyrrh Gichana</t>
  </si>
  <si>
    <t>Roseline Kerubo</t>
  </si>
  <si>
    <t>0717907751</t>
  </si>
  <si>
    <t>Fred Geofilla</t>
  </si>
  <si>
    <t>Shirleen Ong'ondi</t>
  </si>
  <si>
    <t>Precious Kerubo</t>
  </si>
  <si>
    <t>Griffins Matara</t>
  </si>
  <si>
    <t>Jade Mochoni</t>
  </si>
  <si>
    <t>Bonfiace Mochoni</t>
  </si>
  <si>
    <t>0796403104</t>
  </si>
  <si>
    <t>Rayden Tabson</t>
  </si>
  <si>
    <t>Vanessa Ondeu</t>
  </si>
  <si>
    <t>Ramon Ongaro</t>
  </si>
  <si>
    <t>Eunice Ongera</t>
  </si>
  <si>
    <t>0717770267</t>
  </si>
  <si>
    <t>Branny Lee</t>
  </si>
  <si>
    <t>Rojimila Mariera</t>
  </si>
  <si>
    <t>0708946640</t>
  </si>
  <si>
    <t>Jayden Nyakundi</t>
  </si>
  <si>
    <t>Isaiah Nyakundi</t>
  </si>
  <si>
    <t>Reagan Kerongo</t>
  </si>
  <si>
    <t>Dan Mayaka</t>
  </si>
  <si>
    <t>0704453496</t>
  </si>
  <si>
    <t>Kylian Chweya</t>
  </si>
  <si>
    <t>Shanice Micah</t>
  </si>
  <si>
    <t>KES 2,700.00</t>
  </si>
  <si>
    <t>Trevor Joseph</t>
  </si>
  <si>
    <t>Joyness Magoma</t>
  </si>
  <si>
    <t>Vincent Otito</t>
  </si>
  <si>
    <t>0742961510</t>
  </si>
  <si>
    <t>Brandon Chweya</t>
  </si>
  <si>
    <t>KES 2,000.00</t>
  </si>
  <si>
    <t>Gloria Bahati</t>
  </si>
  <si>
    <t>Martha Onsongo</t>
  </si>
  <si>
    <t>Daniel Nyang'au</t>
  </si>
  <si>
    <t>Jayden Trevor</t>
  </si>
  <si>
    <t>Ezra Nyakundi</t>
  </si>
  <si>
    <t>Gladys Nyakundi</t>
  </si>
  <si>
    <t>0705701652</t>
  </si>
  <si>
    <t>Demetrian Angwenyi</t>
  </si>
  <si>
    <t>KES 2,450.00</t>
  </si>
  <si>
    <t>Nelck Monari</t>
  </si>
  <si>
    <t>Blessing Dorice</t>
  </si>
  <si>
    <t>Tatiana Moraa</t>
  </si>
  <si>
    <t>KES 3,700.00</t>
  </si>
  <si>
    <t>Justine Mosoti</t>
  </si>
  <si>
    <t>Erick Mosoti</t>
  </si>
  <si>
    <t>0718580717</t>
  </si>
  <si>
    <t>Emmanuel Bosire</t>
  </si>
  <si>
    <t>Virginia Omwenga</t>
  </si>
  <si>
    <t>Tania Omwenga</t>
  </si>
  <si>
    <t>Gift Ogaro</t>
  </si>
  <si>
    <t>Bravine Momanyi</t>
  </si>
  <si>
    <t>KES 3,000.00</t>
  </si>
  <si>
    <t>Lavenda Kwamboka</t>
  </si>
  <si>
    <t>Gianna Mongina</t>
  </si>
  <si>
    <t>Markline Kerubo</t>
  </si>
  <si>
    <t>0745970129</t>
  </si>
  <si>
    <t>Ignatius Mirera</t>
  </si>
  <si>
    <t>PP2</t>
  </si>
  <si>
    <t>Ivan Jason</t>
  </si>
  <si>
    <t>Ryan Job Makana</t>
  </si>
  <si>
    <t>Biden Omwenga</t>
  </si>
  <si>
    <t>KES 1,700.00</t>
  </si>
  <si>
    <t>Eric Omwenga</t>
  </si>
  <si>
    <t>0741188931</t>
  </si>
  <si>
    <t>Raphael Ototo</t>
  </si>
  <si>
    <t>Dianasus Moti</t>
  </si>
  <si>
    <t>Jayden Odipo</t>
  </si>
  <si>
    <t>KES 2,750.00</t>
  </si>
  <si>
    <t>Dylan Nyamwanda</t>
  </si>
  <si>
    <t>Collins Amima</t>
  </si>
  <si>
    <t>Veronica</t>
  </si>
  <si>
    <t>0790749443</t>
  </si>
  <si>
    <t>Divan Dalton</t>
  </si>
  <si>
    <t>Joel Ontita</t>
  </si>
  <si>
    <t>KES 4,100.00</t>
  </si>
  <si>
    <t>Shelton Orito</t>
  </si>
  <si>
    <t>Liam Nyakundi</t>
  </si>
  <si>
    <t>Aeden Chweya</t>
  </si>
  <si>
    <t>Samuel Ongaki</t>
  </si>
  <si>
    <t>Randy Denzel</t>
  </si>
  <si>
    <t>Lavender Achieng</t>
  </si>
  <si>
    <t>0111386967</t>
  </si>
  <si>
    <t>Alfred Adrian Tsombe</t>
  </si>
  <si>
    <t>Wycliffe Muma</t>
  </si>
  <si>
    <t>0720384963</t>
  </si>
  <si>
    <t>Usher Belden</t>
  </si>
  <si>
    <t>Stephen Mwebi</t>
  </si>
  <si>
    <t>0721495301</t>
  </si>
  <si>
    <t>Franklin Ombura</t>
  </si>
  <si>
    <t>KES 1,500.00</t>
  </si>
  <si>
    <t>Joyce Onyiego</t>
  </si>
  <si>
    <t>0702764387</t>
  </si>
  <si>
    <t>Angello Ateka</t>
  </si>
  <si>
    <t>Douglas Mokaya</t>
  </si>
  <si>
    <t>Trizzah Gichana</t>
  </si>
  <si>
    <t>Blessings Ouko</t>
  </si>
  <si>
    <t>KES 1,900.00</t>
  </si>
  <si>
    <t>Emmaculate Nyakundi</t>
  </si>
  <si>
    <t>Aniella Omwando</t>
  </si>
  <si>
    <t>Christine Ongou</t>
  </si>
  <si>
    <t>Damaris Kwamboka</t>
  </si>
  <si>
    <t>0711778777</t>
  </si>
  <si>
    <t>Annette Duncan</t>
  </si>
  <si>
    <t>Duncan Onkomba</t>
  </si>
  <si>
    <t>0718162773</t>
  </si>
  <si>
    <t>Brielle Gift</t>
  </si>
  <si>
    <t>Geoffrey Osoro</t>
  </si>
  <si>
    <t>0792762553</t>
  </si>
  <si>
    <t>Precious Aliambo</t>
  </si>
  <si>
    <t>Melodias Ondeu</t>
  </si>
  <si>
    <t>Mary Ombura</t>
  </si>
  <si>
    <t>Lavenda Orito</t>
  </si>
  <si>
    <t>Skylar Munene</t>
  </si>
  <si>
    <t>Brevian Bosire</t>
  </si>
  <si>
    <t>Aubrey Mwebi</t>
  </si>
  <si>
    <t>Sheldon Orito</t>
  </si>
  <si>
    <t>Dylan Bichanga</t>
  </si>
  <si>
    <t>Grade 1</t>
  </si>
  <si>
    <t>Shanila Evans</t>
  </si>
  <si>
    <t>Aska Agape</t>
  </si>
  <si>
    <t>KES 1,300.00</t>
  </si>
  <si>
    <t>Deborah Osoro</t>
  </si>
  <si>
    <t>Amor Moraa</t>
  </si>
  <si>
    <t>Kerstin Matara</t>
  </si>
  <si>
    <t>Audrey Ombora</t>
  </si>
  <si>
    <t>Elis Sagini</t>
  </si>
  <si>
    <t>Maryanne Valentine</t>
  </si>
  <si>
    <t>Austin Matara</t>
  </si>
  <si>
    <t>Dolphin Kerubo</t>
  </si>
  <si>
    <t>Milan Ombachi</t>
  </si>
  <si>
    <t>Innocent Starling</t>
  </si>
  <si>
    <t>KES 2,300.00</t>
  </si>
  <si>
    <t>Lemmy Douglas</t>
  </si>
  <si>
    <t>oke</t>
  </si>
  <si>
    <t>KES 1,250.00</t>
  </si>
  <si>
    <t>Bivon Jeremy</t>
  </si>
  <si>
    <t>Catrina Evans</t>
  </si>
  <si>
    <t>Sanchez Prince</t>
  </si>
  <si>
    <t>Pendo Gloriah</t>
  </si>
  <si>
    <t>Trevor Ombicha</t>
  </si>
  <si>
    <t>Gabriella Nyaboke</t>
  </si>
  <si>
    <t>Kezziah Mwebi</t>
  </si>
  <si>
    <t>David Mwebi</t>
  </si>
  <si>
    <t>Remmy Precious</t>
  </si>
  <si>
    <t>Crown Amwoma</t>
  </si>
  <si>
    <t>Rashford Amos</t>
  </si>
  <si>
    <t>Prince Bianci</t>
  </si>
  <si>
    <t>Magdalen Simiyu</t>
  </si>
  <si>
    <t>Travis Mwebi</t>
  </si>
  <si>
    <t>Robin Mokua</t>
  </si>
  <si>
    <t>Ryan Nyakundi</t>
  </si>
  <si>
    <t>Boaz Monari</t>
  </si>
  <si>
    <t>Letusha Nyaboke</t>
  </si>
  <si>
    <t>Grade 2</t>
  </si>
  <si>
    <t>Jayden Mark Siro</t>
  </si>
  <si>
    <t>Adrian Mark Oriha</t>
  </si>
  <si>
    <t>KES 1,800.00</t>
  </si>
  <si>
    <t>Rebecca Glorius M.</t>
  </si>
  <si>
    <t>Natasha Shezin K.</t>
  </si>
  <si>
    <t>Justine Akuуu Oyaro</t>
  </si>
  <si>
    <t>Brandon Angwenyi</t>
  </si>
  <si>
    <t>KES 3,400.00</t>
  </si>
  <si>
    <t>Shantel Kwamboka</t>
  </si>
  <si>
    <t>Tony Akunga</t>
  </si>
  <si>
    <t>Lilian Ondeu</t>
  </si>
  <si>
    <t>Melaniah Nyaboke</t>
  </si>
  <si>
    <t>Lorna Osoro Nyabate</t>
  </si>
  <si>
    <t>KES 1,050.00</t>
  </si>
  <si>
    <t>Val Kwamboka</t>
  </si>
  <si>
    <t>Yabesh Motari</t>
  </si>
  <si>
    <t>Jayden Gichana</t>
  </si>
  <si>
    <t>Ashley Nyangweso</t>
  </si>
  <si>
    <t>Darrel Nyakundi</t>
  </si>
  <si>
    <t>Alvin Omariba</t>
  </si>
  <si>
    <t>KES 3,900.00</t>
  </si>
  <si>
    <t>Sophy Kwamboka</t>
  </si>
  <si>
    <t>Ruth Osoro</t>
  </si>
  <si>
    <t>Mevian Nyaboke</t>
  </si>
  <si>
    <t>Allan Oluoch</t>
  </si>
  <si>
    <t>Clinton Omwando</t>
  </si>
  <si>
    <t>KES 6,600.00</t>
  </si>
  <si>
    <t>Shem Nyandwaro</t>
  </si>
  <si>
    <t>KES 2,600.00</t>
  </si>
  <si>
    <t>Nezziah Kerubo</t>
  </si>
  <si>
    <t>Grade 3</t>
  </si>
  <si>
    <t>Charity Oyaro</t>
  </si>
  <si>
    <t>Shannel Adhiambo</t>
  </si>
  <si>
    <t>Justine Muma</t>
  </si>
  <si>
    <t>KES 3,300.00</t>
  </si>
  <si>
    <t>Leah Mosinya</t>
  </si>
  <si>
    <t>Meghann Brainnah</t>
  </si>
  <si>
    <t>Carlfinley Makori</t>
  </si>
  <si>
    <t>Shirley Atieno</t>
  </si>
  <si>
    <t>Calvin Omwenga</t>
  </si>
  <si>
    <t>Prince Emmanuel</t>
  </si>
  <si>
    <t>Joan Omune</t>
  </si>
  <si>
    <t>Shantiriah Chweya</t>
  </si>
  <si>
    <t>Demetrious Mochoni</t>
  </si>
  <si>
    <t>Ian Ondeu</t>
  </si>
  <si>
    <t>Precious Moraa</t>
  </si>
  <si>
    <t>Sylviah Gechemba</t>
  </si>
  <si>
    <t>Blessings Mogire</t>
  </si>
  <si>
    <t>Elizabeth Muindi</t>
  </si>
  <si>
    <t>KES 2,500.00</t>
  </si>
  <si>
    <t>Elvis Makana</t>
  </si>
  <si>
    <t>KES 1,200.00</t>
  </si>
  <si>
    <t>Mary Mokua</t>
  </si>
  <si>
    <t>Purity Kemunto</t>
  </si>
  <si>
    <t>Annabel Nyakundi</t>
  </si>
  <si>
    <t>Belden Omwenga</t>
  </si>
  <si>
    <t>Thomas Onsongo</t>
  </si>
  <si>
    <t>cleared</t>
  </si>
  <si>
    <t>Gaudencia Nyantika</t>
  </si>
  <si>
    <t>KES 500.00</t>
  </si>
  <si>
    <t>Agnes Chweya</t>
  </si>
  <si>
    <t>Brilliant Mosoti</t>
  </si>
  <si>
    <t>KES 2,950.00</t>
  </si>
  <si>
    <t>Precious Kwamboka</t>
  </si>
  <si>
    <t>KES 3,100.00</t>
  </si>
  <si>
    <t>Bradley Joseph</t>
  </si>
  <si>
    <t>Elvis Nyabera</t>
  </si>
  <si>
    <t>Grade 4</t>
  </si>
  <si>
    <t>Vicklans Amani</t>
  </si>
  <si>
    <t>Jacob Griffins</t>
  </si>
  <si>
    <t>Florence Mong'ina</t>
  </si>
  <si>
    <t>Joyshalin Douglas</t>
  </si>
  <si>
    <t>Brighton Omosa</t>
  </si>
  <si>
    <t>Damian Mogere</t>
  </si>
  <si>
    <t>Brandon Mogire</t>
  </si>
  <si>
    <t>KES 5,350.00</t>
  </si>
  <si>
    <t>Shannah Ombachi</t>
  </si>
  <si>
    <t>Davin Kwamboka</t>
  </si>
  <si>
    <t>Roseline Achieng'i</t>
  </si>
  <si>
    <t>Bahati Mahadi</t>
  </si>
  <si>
    <t>Fabian Lewis</t>
  </si>
  <si>
    <t>Brighton Ken</t>
  </si>
  <si>
    <t>Claudia Osoro</t>
  </si>
  <si>
    <t>Andrew Mokaya</t>
  </si>
  <si>
    <t>Dioncious Onyancha</t>
  </si>
  <si>
    <t>Godfrey Ondeu</t>
  </si>
  <si>
    <t>KES 150.00</t>
  </si>
  <si>
    <t>Ibrahim Ocharo</t>
  </si>
  <si>
    <t>KES 4,900.00</t>
  </si>
  <si>
    <t>Christine Kwamboka</t>
  </si>
  <si>
    <t>Esther Mochoni</t>
  </si>
  <si>
    <t>Caspher Achuka</t>
  </si>
  <si>
    <t>Jones Ageya</t>
  </si>
  <si>
    <t>Brighton Orang'o</t>
  </si>
  <si>
    <t>John Stanly</t>
  </si>
  <si>
    <t>Mitchel Akuma</t>
  </si>
  <si>
    <t>KES 12,310.00</t>
  </si>
  <si>
    <t>Felix Oyaro</t>
  </si>
  <si>
    <t>Alvan Onchiri</t>
  </si>
  <si>
    <t>Debora Mochoni</t>
  </si>
  <si>
    <t>Grade 5</t>
  </si>
  <si>
    <t>KES 3,800.00</t>
  </si>
  <si>
    <t>Shanny Claire</t>
  </si>
  <si>
    <t>KES 650.00</t>
  </si>
  <si>
    <t>Marion Akinyi</t>
  </si>
  <si>
    <t>KES 800.00</t>
  </si>
  <si>
    <t>Beverlyne Obeeto</t>
  </si>
  <si>
    <t>Samuel Wamalwa</t>
  </si>
  <si>
    <t>Precious Ondeu</t>
  </si>
  <si>
    <t>Mary Matara</t>
  </si>
  <si>
    <t>Sarah Monari</t>
  </si>
  <si>
    <t>Vallerian Maiko</t>
  </si>
  <si>
    <t>Prince Nigel</t>
  </si>
  <si>
    <t>Natallie Moraa</t>
  </si>
  <si>
    <t>Giftone Siro</t>
  </si>
  <si>
    <t>Emmanuel Machoka</t>
  </si>
  <si>
    <t>Angela Bosire</t>
  </si>
  <si>
    <t>Vincent Nyantika</t>
  </si>
  <si>
    <t>Samson Ong'era</t>
  </si>
  <si>
    <t>Peter Makori</t>
  </si>
  <si>
    <t>Bravin Omwando</t>
  </si>
  <si>
    <t>Naomy Nyaboke</t>
  </si>
  <si>
    <t>Ferdinand Ondeu</t>
  </si>
  <si>
    <t>Philip Chweya</t>
  </si>
  <si>
    <t>Euphenia Moraa</t>
  </si>
  <si>
    <t>Joyce Ongaki</t>
  </si>
  <si>
    <t>Precious Ouko</t>
  </si>
  <si>
    <t xml:space="preserve"> Debora Braiden</t>
  </si>
  <si>
    <t>Johalam Mwendwa</t>
  </si>
  <si>
    <t>David Ombura</t>
  </si>
  <si>
    <t>Ann Moraa</t>
  </si>
  <si>
    <t>Grade 6</t>
  </si>
  <si>
    <t>Shantel Nyaboke</t>
  </si>
  <si>
    <t>Lavender Adhiambo</t>
  </si>
  <si>
    <t>Sally Gesumwa</t>
  </si>
  <si>
    <t>Uwase Sumaya</t>
  </si>
  <si>
    <t>Barrack Mwebi</t>
  </si>
  <si>
    <t>Eunice Akinyi</t>
  </si>
  <si>
    <t>KES 12,050.00</t>
  </si>
  <si>
    <t>Patience Mochoni</t>
  </si>
  <si>
    <t>Daisy Nyaboke</t>
  </si>
  <si>
    <t>KES 18,500.00</t>
  </si>
  <si>
    <t>Tasha Moraa</t>
  </si>
  <si>
    <t>KES 50.00</t>
  </si>
  <si>
    <t>Jacinta Kemunto</t>
  </si>
  <si>
    <t>KES 1,600.00</t>
  </si>
  <si>
    <t>Valentine Mosoti</t>
  </si>
  <si>
    <t>KES 2,650.00</t>
  </si>
  <si>
    <t>Lucky Monari</t>
  </si>
  <si>
    <t>KES 3,500.00</t>
  </si>
  <si>
    <t>Shanice Orito</t>
  </si>
  <si>
    <t>Deborah Angwenyi</t>
  </si>
  <si>
    <t>Collins Makana</t>
  </si>
  <si>
    <t>KES 17,450.00</t>
  </si>
  <si>
    <t>Raphael Atuga</t>
  </si>
  <si>
    <t>KES 7,300.00</t>
  </si>
  <si>
    <t>Felix Manani</t>
  </si>
  <si>
    <t>KES 15,800.00</t>
  </si>
  <si>
    <t>Wisley Chweya</t>
  </si>
  <si>
    <t>Eugine Muma</t>
  </si>
  <si>
    <t>Pillydad Makori</t>
  </si>
  <si>
    <t>Grade 7</t>
  </si>
  <si>
    <t>Elvis Ochieng</t>
  </si>
  <si>
    <t>Paulson Ombura</t>
  </si>
  <si>
    <t>Bridgit Chweya Gesare</t>
  </si>
  <si>
    <t>Treddy Akuma</t>
  </si>
  <si>
    <t>KES 19,050.00</t>
  </si>
  <si>
    <t>Dalton Otuke</t>
  </si>
  <si>
    <t>KES 875.00</t>
  </si>
  <si>
    <t>Esther Ocharo</t>
  </si>
  <si>
    <t>KES 2,150.00</t>
  </si>
  <si>
    <t>Derick Mokaya</t>
  </si>
  <si>
    <t>Elvis Mayaka</t>
  </si>
  <si>
    <t>Arshley Young</t>
  </si>
  <si>
    <t>Grade 8</t>
  </si>
  <si>
    <t>Bruno Bosire</t>
  </si>
  <si>
    <t>Beatrice Monari</t>
  </si>
  <si>
    <t>Wisley Orare</t>
  </si>
  <si>
    <t>Joy Juma</t>
  </si>
  <si>
    <t>Sabina Bosire</t>
  </si>
  <si>
    <t>Cynthia Aluoch</t>
  </si>
  <si>
    <t>Cyrus Mogire</t>
  </si>
  <si>
    <t>Alex Ageya</t>
  </si>
  <si>
    <t>Stanley Mwebi</t>
  </si>
  <si>
    <t>Fabian Nyakundi</t>
  </si>
  <si>
    <t>Charles Otunga</t>
  </si>
  <si>
    <t>KES 1,550.00</t>
  </si>
  <si>
    <t>Hellen Bwari</t>
  </si>
  <si>
    <t>Barack Ochwangi</t>
  </si>
  <si>
    <t>Grade 9</t>
  </si>
  <si>
    <t>Gregory Matara</t>
  </si>
  <si>
    <t>Hegla Nyakarita</t>
  </si>
  <si>
    <t>Trecy Gesare</t>
  </si>
  <si>
    <t>Blessing Moraa</t>
  </si>
  <si>
    <t>Joan Kerubo</t>
  </si>
  <si>
    <t>Sharon Manase</t>
  </si>
  <si>
    <t>Hellen Kemunto</t>
  </si>
  <si>
    <t>Christine Lian</t>
  </si>
  <si>
    <t>Sabastiano Nyasimi</t>
  </si>
  <si>
    <t>Dorca Kerongo</t>
  </si>
  <si>
    <t>KES 3,310.00</t>
  </si>
  <si>
    <t>Rachael Nyanchama</t>
  </si>
  <si>
    <t>GRADE SUMMARY</t>
  </si>
  <si>
    <t>Total Students</t>
  </si>
  <si>
    <t>Total Fee Balance</t>
  </si>
  <si>
    <t>STAFF DATA COLLECTION</t>
  </si>
  <si>
    <t>Total Staff Entered:</t>
  </si>
  <si>
    <t>No.</t>
  </si>
  <si>
    <t>Staff ID</t>
  </si>
  <si>
    <t>Full Name</t>
  </si>
  <si>
    <t>Gender</t>
  </si>
  <si>
    <t>Phone</t>
  </si>
  <si>
    <t>Position</t>
  </si>
  <si>
    <t>Subject/Department</t>
  </si>
  <si>
    <t>Employment Type</t>
  </si>
  <si>
    <t>Date Joined</t>
  </si>
  <si>
    <t>Status</t>
  </si>
  <si>
    <t>Salary</t>
  </si>
  <si>
    <t>Daniel Odongo</t>
  </si>
  <si>
    <t>0726904117</t>
  </si>
  <si>
    <t>Administrator</t>
  </si>
  <si>
    <t>Robert Mogere</t>
  </si>
  <si>
    <t>0725925268</t>
  </si>
  <si>
    <t>—</t>
  </si>
  <si>
    <t>Amos Siro Onsongo</t>
  </si>
  <si>
    <t>0117587544</t>
  </si>
  <si>
    <t>Teacher</t>
  </si>
  <si>
    <t>Gordon Odiwuor</t>
  </si>
  <si>
    <t>0720207597</t>
  </si>
  <si>
    <t>Lillian Otieno</t>
  </si>
  <si>
    <t>0757542843</t>
  </si>
  <si>
    <t>Patricia Kusamboka</t>
  </si>
  <si>
    <t>0706185422</t>
  </si>
  <si>
    <t>Sheilla Bosibori</t>
  </si>
  <si>
    <t>0793016108</t>
  </si>
  <si>
    <t>Alfine Otieno</t>
  </si>
  <si>
    <t>0117766761</t>
  </si>
  <si>
    <t>Agostine Ogega</t>
  </si>
  <si>
    <t>0700419964</t>
  </si>
  <si>
    <t>Morghan Amecha</t>
  </si>
  <si>
    <t>0798838358</t>
  </si>
  <si>
    <t>Winnie Bosibori</t>
  </si>
  <si>
    <t>0111693700</t>
  </si>
  <si>
    <t>Joshua Ngara</t>
  </si>
  <si>
    <t>0740550392</t>
  </si>
  <si>
    <t>Josephine Otaro</t>
  </si>
  <si>
    <t>0701135478</t>
  </si>
  <si>
    <t>Doreen Bosibori</t>
  </si>
  <si>
    <t>Cecillia Kemunto</t>
  </si>
  <si>
    <t>0757655224</t>
  </si>
  <si>
    <t>Leonidah Kigwaro</t>
  </si>
  <si>
    <t>Support Staff</t>
  </si>
  <si>
    <t>Nicodemus Achuka</t>
  </si>
  <si>
    <t>0769779634</t>
  </si>
  <si>
    <t>Grace Jefta</t>
  </si>
  <si>
    <t>0752808415</t>
  </si>
  <si>
    <t>Jane Moraa</t>
  </si>
  <si>
    <t>0710944832</t>
  </si>
  <si>
    <t>Jefta Makori</t>
  </si>
  <si>
    <t>Marcela Osoro</t>
  </si>
  <si>
    <t>SCHOOL INVENTORY COLLECTION</t>
  </si>
  <si>
    <t>Total Items:</t>
  </si>
  <si>
    <t>Total Value:</t>
  </si>
  <si>
    <t>Item ID</t>
  </si>
  <si>
    <t>Item Name</t>
  </si>
  <si>
    <t>Category</t>
  </si>
  <si>
    <t>Quantity</t>
  </si>
  <si>
    <t>Unit Price</t>
  </si>
  <si>
    <t>Total Value</t>
  </si>
  <si>
    <t>Condition</t>
  </si>
  <si>
    <t>KABIERO ACADEMY — FEE STRUCTURE 2026</t>
  </si>
  <si>
    <t>Applicable To</t>
  </si>
  <si>
    <t>Fee Description</t>
  </si>
  <si>
    <t>Term 1</t>
  </si>
  <si>
    <t>Term 2</t>
  </si>
  <si>
    <t>Term 3</t>
  </si>
  <si>
    <t>Total</t>
  </si>
  <si>
    <t>PP1 / PP2 / Grade 1 / Grade 2</t>
  </si>
  <si>
    <t>School Fees</t>
  </si>
  <si>
    <t>KES 8,400.00</t>
  </si>
  <si>
    <t>Grade 1–6</t>
  </si>
  <si>
    <t>KES 4,800.00</t>
  </si>
  <si>
    <t>KES 10,400.00</t>
  </si>
  <si>
    <t>Grade 7, 8 &amp; 9</t>
  </si>
  <si>
    <t>KES 5,500.00</t>
  </si>
  <si>
    <t>KES 4,500.00</t>
  </si>
  <si>
    <t>KES 12,500.00</t>
  </si>
  <si>
    <t>All Students</t>
  </si>
  <si>
    <t>Parental Award</t>
  </si>
  <si>
    <t>Medical</t>
  </si>
  <si>
    <t>Grade 1 onwards</t>
  </si>
  <si>
    <t>Activity</t>
  </si>
  <si>
    <t>All Students (Optional)</t>
  </si>
  <si>
    <t>Lunch</t>
  </si>
  <si>
    <t>KES 9,000.00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</si>
</sst>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KES]\ #,##0.00"/>
    <numFmt numFmtId="179" formatCode="&quot;$&quot;#,##0.00"/>
    <numFmt numFmtId="180" formatCode="yyyy\-mm\-dd"/>
    <numFmt numFmtId="181" formatCode="&quot;KES &quot;#,##0.00"/>
    <numFmt numFmtId="182" formatCode="&quot;KES&quot;\ #,##0.00"/>
  </numFmts>
  <fonts count="30">
    <font>
      <sz val="10"/>
      <color rgb="FF000000"/>
      <name val="Arial"/>
      <charset val="134"/>
      <scheme val="minor"/>
    </font>
    <font>
      <sz val="10"/>
      <color rgb="FF181C1F"/>
      <name val="Arial"/>
      <charset val="134"/>
      <scheme val="minor"/>
    </font>
    <font>
      <sz val="10"/>
      <color rgb="FFFFFFFF"/>
      <name val="Arial"/>
      <charset val="134"/>
      <scheme val="minor"/>
    </font>
    <font>
      <b/>
      <sz val="14"/>
      <color theme="1"/>
      <name val="Roboto"/>
      <charset val="134"/>
    </font>
    <font>
      <b/>
      <sz val="11"/>
      <color theme="1"/>
      <name val="Roboto"/>
      <charset val="134"/>
    </font>
    <font>
      <sz val="10"/>
      <color theme="1"/>
      <name val="Arial"/>
      <charset val="134"/>
      <scheme val="minor"/>
    </font>
    <font>
      <b/>
      <sz val="10"/>
      <color rgb="FFFFFFFF"/>
      <name val="Roboto"/>
      <charset val="134"/>
    </font>
    <font>
      <b/>
      <sz val="24"/>
      <color theme="1"/>
      <name val="Roboto"/>
      <charset val="134"/>
    </font>
    <font>
      <b/>
      <sz val="10"/>
      <color theme="1"/>
      <name val="Arial"/>
      <charset val="134"/>
      <scheme val="minor"/>
    </font>
    <font>
      <b/>
      <sz val="10"/>
      <color rgb="FFFFFFFF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CECF4"/>
        <bgColor rgb="FFECECF4"/>
      </patternFill>
    </fill>
    <fill>
      <patternFill patternType="solid">
        <fgColor rgb="FF3E5F90"/>
        <bgColor rgb="FF3E5F90"/>
      </patternFill>
    </fill>
    <fill>
      <patternFill patternType="solid">
        <fgColor rgb="FFD9E2F8"/>
        <bgColor rgb="FFD9E2F8"/>
      </patternFill>
    </fill>
    <fill>
      <patternFill patternType="solid">
        <fgColor rgb="FFF8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179" fontId="4" fillId="2" borderId="0" xfId="0" applyNumberFormat="1" applyFont="1" applyFill="1"/>
    <xf numFmtId="0" fontId="5" fillId="2" borderId="0" xfId="0" applyFont="1" applyFill="1"/>
    <xf numFmtId="0" fontId="6" fillId="3" borderId="0" xfId="0" applyFont="1" applyFill="1"/>
    <xf numFmtId="0" fontId="5" fillId="0" borderId="0" xfId="0" applyFont="1"/>
    <xf numFmtId="179" fontId="5" fillId="0" borderId="0" xfId="0" applyNumberFormat="1" applyFont="1"/>
    <xf numFmtId="0" fontId="6" fillId="3" borderId="0" xfId="0" applyFont="1" applyFill="1" applyAlignment="1"/>
    <xf numFmtId="0" fontId="5" fillId="0" borderId="0" xfId="0" applyFont="1" applyAlignment="1"/>
    <xf numFmtId="49" fontId="5" fillId="0" borderId="0" xfId="0" applyNumberFormat="1" applyFont="1" applyAlignment="1"/>
    <xf numFmtId="180" fontId="5" fillId="0" borderId="0" xfId="0" applyNumberFormat="1" applyFont="1"/>
    <xf numFmtId="178" fontId="5" fillId="0" borderId="0" xfId="0" applyNumberFormat="1" applyFont="1" applyAlignment="1"/>
    <xf numFmtId="49" fontId="5" fillId="0" borderId="0" xfId="0" applyNumberFormat="1" applyFont="1"/>
    <xf numFmtId="0" fontId="7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181" fontId="5" fillId="0" borderId="0" xfId="0" applyNumberFormat="1" applyFont="1" applyAlignment="1">
      <alignment vertical="center"/>
    </xf>
    <xf numFmtId="0" fontId="8" fillId="4" borderId="0" xfId="0" applyFont="1" applyFill="1"/>
    <xf numFmtId="182" fontId="8" fillId="4" borderId="0" xfId="0" applyNumberFormat="1" applyFont="1" applyFill="1"/>
    <xf numFmtId="0" fontId="5" fillId="4" borderId="0" xfId="0" applyFont="1" applyFill="1"/>
    <xf numFmtId="0" fontId="9" fillId="0" borderId="0" xfId="0" applyFont="1" applyAlignment="1">
      <alignment horizontal="center"/>
    </xf>
    <xf numFmtId="182" fontId="9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82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0" fillId="0" borderId="0" xfId="0"/>
    <xf numFmtId="0" fontId="0" fillId="5" borderId="0" xfId="0" applyFill="1" applyAlignment="1">
      <alignment horizontal="right" wrapText="1" readingOrder="1"/>
    </xf>
    <xf numFmtId="0" fontId="0" fillId="6" borderId="0" xfId="0" applyFill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E5F90"/>
          <bgColor rgb="FF3E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E5F90"/>
          <bgColor rgb="FF3E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E5F90"/>
          <bgColor rgb="FF3E5F90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E5F90"/>
          <bgColor rgb="FF3E5F90"/>
        </patternFill>
      </fill>
    </dxf>
  </dxfs>
  <tableStyles count="5">
    <tableStyle name="Inventory Tracker-style" pivot="0" count="3" xr9:uid="{0366D78E-05AF-4AE1-BE5F-7DCC25A1760B}">
      <tableStyleElement type="headerRow" dxfId="35"/>
      <tableStyleElement type="firstRowStripe" dxfId="34"/>
      <tableStyleElement type="secondRowStripe" dxfId="33"/>
    </tableStyle>
    <tableStyle name="Staff Directory-style" pivot="0" count="3" xr9:uid="{D1587A51-187B-41B8-8C90-2996C3605E7F}">
      <tableStyleElement type="headerRow" dxfId="38"/>
      <tableStyleElement type="firstRowStripe" dxfId="37"/>
      <tableStyleElement type="secondRowStripe" dxfId="36"/>
    </tableStyle>
    <tableStyle name="Data Entry-style" pivot="0" count="3" xr9:uid="{C818E86A-C3D6-49B4-B910-F4E61F0BDF91}">
      <tableStyleElement type="headerRow" dxfId="41"/>
      <tableStyleElement type="firstRowStripe" dxfId="40"/>
      <tableStyleElement type="secondRowStripe" dxfId="39"/>
    </tableStyle>
    <tableStyle name="Grade Summary-style" pivot="0" count="4" xr9:uid="{62C22105-F5D0-4A18-A1CC-24AF452D3FB5}">
      <tableStyleElement type="wholeTable" dxfId="45"/>
      <tableStyleElement type="headerRow" dxfId="44"/>
      <tableStyleElement type="firstRowStripe" dxfId="43"/>
      <tableStyleElement type="secondRowStripe" dxfId="42"/>
    </tableStyle>
    <tableStyle name="Fee Structure-style" pivot="0" count="3" xr9:uid="{F7029BB0-ABA3-4BD4-BBCD-6299DB2379E8}"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_1" displayName="Table_1" ref="B5:G300">
  <tableColumns count="6">
    <tableColumn id="1" name="Adm No" dataDxfId="0"/>
    <tableColumn id="2" name="Student Name" dataDxfId="1"/>
    <tableColumn id="3" name="Grade" dataDxfId="2"/>
    <tableColumn id="4" name="Fee Balance" dataDxfId="3"/>
    <tableColumn id="5" name="Parent Name" dataDxfId="4"/>
    <tableColumn id="6" name="Parent Phone No" dataDxfId="5"/>
  </tableColumns>
  <tableStyleInfo name="Data Entry-style" showFirstColumn="1" showLastColumn="1" showRowStripes="1" showColumnStripes="0"/>
</table>
</file>

<file path=xl/tables/table2.xml><?xml version="1.0" encoding="utf-8"?>
<table xmlns="http://schemas.openxmlformats.org/spreadsheetml/2006/main" id="4" name="GradeSummaryTable" displayName="GradeSummaryTable" ref="B4:D16">
  <tableColumns count="3">
    <tableColumn id="1" name="Grade" dataDxfId="6"/>
    <tableColumn id="2" name="Total Students" dataDxfId="7"/>
    <tableColumn id="3" name="Total Fee Balance" dataDxfId="8"/>
  </tableColumns>
  <tableStyleInfo name="Grade Summary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5:L105">
  <tableColumns count="11">
    <tableColumn id="1" name="No." dataDxfId="9"/>
    <tableColumn id="2" name="Staff ID" dataDxfId="10"/>
    <tableColumn id="3" name="Full Name" dataDxfId="11"/>
    <tableColumn id="4" name="Gender" dataDxfId="12"/>
    <tableColumn id="5" name="Phone" dataDxfId="13"/>
    <tableColumn id="6" name="Position" dataDxfId="14"/>
    <tableColumn id="7" name="Subject/Department" dataDxfId="15"/>
    <tableColumn id="8" name="Employment Type" dataDxfId="16"/>
    <tableColumn id="9" name="Date Joined" dataDxfId="17"/>
    <tableColumn id="10" name="Status" dataDxfId="18"/>
    <tableColumn id="11" name="Salary" dataDxfId="19"/>
  </tableColumns>
  <tableStyleInfo name="Staff Directory-style" showFirstColumn="1" showLastColumn="1" showRowStripes="1" showColumnStripes="0"/>
</table>
</file>

<file path=xl/tables/table4.xml><?xml version="1.0" encoding="utf-8"?>
<table xmlns="http://schemas.openxmlformats.org/spreadsheetml/2006/main" id="1" name="Table_2" displayName="Table_2" ref="B5:H205">
  <tableColumns count="7">
    <tableColumn id="1" name="Item ID" dataDxfId="20"/>
    <tableColumn id="2" name="Item Name" dataDxfId="21"/>
    <tableColumn id="3" name="Category" dataDxfId="22"/>
    <tableColumn id="4" name="Quantity" dataDxfId="23"/>
    <tableColumn id="5" name="Unit Price" dataDxfId="24"/>
    <tableColumn id="6" name="Total Value" dataDxfId="25"/>
    <tableColumn id="7" name="Condition" dataDxfId="26"/>
  </tableColumns>
  <tableStyleInfo name="Inventory Tracker-style" showFirstColumn="1" showLastColumn="1" showRowStripes="1" showColumnStripes="0"/>
</table>
</file>

<file path=xl/tables/table5.xml><?xml version="1.0" encoding="utf-8"?>
<table xmlns="http://schemas.openxmlformats.org/spreadsheetml/2006/main" id="5" name="Table_4" displayName="Table_4" ref="B4:G11">
  <tableColumns count="6">
    <tableColumn id="1" name="Applicable To" dataDxfId="27"/>
    <tableColumn id="2" name="Fee Description" dataDxfId="28"/>
    <tableColumn id="3" name="Term 1" dataDxfId="29"/>
    <tableColumn id="4" name="Term 2" dataDxfId="30"/>
    <tableColumn id="5" name="Term 3" dataDxfId="31"/>
    <tableColumn id="6" name="Total" dataDxfId="32"/>
  </tableColumns>
  <tableStyleInfo name="Fee Structur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G300"/>
  <sheetViews>
    <sheetView showGridLines="0" workbookViewId="0">
      <pane ySplit="5" topLeftCell="A282" activePane="bottomLeft" state="frozen"/>
      <selection/>
      <selection pane="bottomLeft" activeCell="D306" sqref="D306"/>
    </sheetView>
  </sheetViews>
  <sheetFormatPr defaultColWidth="12.6285714285714" defaultRowHeight="15.75" customHeight="1" outlineLevelCol="6"/>
  <cols>
    <col min="2" max="2" width="54.8761904761905" customWidth="1"/>
    <col min="3" max="3" width="17.5047619047619" customWidth="1"/>
    <col min="4" max="4" width="14.247619047619" customWidth="1"/>
    <col min="5" max="5" width="11.6285714285714" customWidth="1"/>
    <col min="6" max="6" width="15.3809523809524" customWidth="1"/>
    <col min="7" max="7" width="13.247619047619" customWidth="1"/>
  </cols>
  <sheetData>
    <row r="2" customHeight="1" spans="2:7">
      <c r="B2" s="19" t="s">
        <v>0</v>
      </c>
    </row>
    <row r="3" customHeight="1" spans="2:7">
      <c r="B3" s="23" t="s">
        <v>1</v>
      </c>
      <c r="C3" s="23">
        <f>COUNTA(B6:B300)</f>
        <v>140</v>
      </c>
      <c r="D3" s="23" t="s">
        <v>2</v>
      </c>
      <c r="E3" s="24">
        <f>SUM(E6:E300)</f>
        <v>25930</v>
      </c>
      <c r="F3" s="25"/>
      <c r="G3" s="25"/>
    </row>
    <row r="5" customHeight="1" spans="2:7">
      <c r="B5" s="26" t="s">
        <v>3</v>
      </c>
      <c r="C5" s="26" t="s">
        <v>4</v>
      </c>
      <c r="D5" s="26" t="s">
        <v>5</v>
      </c>
      <c r="E5" s="27" t="s">
        <v>6</v>
      </c>
      <c r="F5" s="26" t="s">
        <v>7</v>
      </c>
      <c r="G5" s="26" t="s">
        <v>8</v>
      </c>
    </row>
    <row r="6" customHeight="1" spans="2:7">
      <c r="B6" s="28">
        <f t="array" ref="B6:B145">IF(C6:C300&lt;&gt;"",ROW(C6:C300)+94,"")</f>
        <v>100</v>
      </c>
      <c r="C6" s="29" t="s">
        <v>9</v>
      </c>
      <c r="D6" s="28" t="s">
        <v>10</v>
      </c>
      <c r="E6" s="30">
        <v>700</v>
      </c>
      <c r="F6" s="29"/>
      <c r="G6" s="31"/>
    </row>
    <row r="7" customHeight="1" spans="2:7">
      <c r="B7" s="28">
        <v>101</v>
      </c>
      <c r="C7" s="29" t="s">
        <v>11</v>
      </c>
      <c r="D7" s="28" t="s">
        <v>10</v>
      </c>
      <c r="E7" s="30" t="s">
        <v>12</v>
      </c>
      <c r="F7" s="29"/>
      <c r="G7" s="31"/>
    </row>
    <row r="8" customHeight="1" spans="2:7">
      <c r="B8" s="28">
        <v>102</v>
      </c>
      <c r="C8" s="29" t="s">
        <v>13</v>
      </c>
      <c r="D8" s="28" t="s">
        <v>10</v>
      </c>
      <c r="E8" s="30" t="s">
        <v>12</v>
      </c>
      <c r="F8" s="29"/>
      <c r="G8" s="31"/>
    </row>
    <row r="9" customHeight="1" spans="2:7">
      <c r="B9" s="28">
        <v>103</v>
      </c>
      <c r="C9" s="29" t="s">
        <v>14</v>
      </c>
      <c r="D9" s="28" t="s">
        <v>10</v>
      </c>
      <c r="E9" s="30" t="s">
        <v>12</v>
      </c>
      <c r="F9" s="29"/>
      <c r="G9" s="31"/>
    </row>
    <row r="10" customHeight="1" spans="2:7">
      <c r="B10" s="28">
        <v>104</v>
      </c>
      <c r="C10" s="29" t="s">
        <v>15</v>
      </c>
      <c r="D10" s="28" t="s">
        <v>10</v>
      </c>
      <c r="E10" s="30" t="s">
        <v>12</v>
      </c>
      <c r="F10" s="29"/>
      <c r="G10" s="31"/>
    </row>
    <row r="11" customHeight="1" spans="2:7">
      <c r="B11" s="28">
        <v>105</v>
      </c>
      <c r="C11" s="29" t="s">
        <v>16</v>
      </c>
      <c r="D11" s="28" t="s">
        <v>10</v>
      </c>
      <c r="E11" s="30" t="s">
        <v>12</v>
      </c>
      <c r="F11" s="29"/>
      <c r="G11" s="31"/>
    </row>
    <row r="12" customHeight="1" spans="2:7">
      <c r="B12" s="28">
        <v>106</v>
      </c>
      <c r="C12" s="29" t="s">
        <v>17</v>
      </c>
      <c r="D12" s="28" t="s">
        <v>10</v>
      </c>
      <c r="E12" s="30" t="s">
        <v>12</v>
      </c>
      <c r="F12" s="29" t="s">
        <v>18</v>
      </c>
      <c r="G12" s="31" t="s">
        <v>19</v>
      </c>
    </row>
    <row r="13" customHeight="1" spans="2:7">
      <c r="B13" s="28">
        <v>107</v>
      </c>
      <c r="C13" s="29" t="s">
        <v>20</v>
      </c>
      <c r="D13" s="28" t="s">
        <v>10</v>
      </c>
      <c r="E13" s="30" t="s">
        <v>21</v>
      </c>
      <c r="F13" s="29" t="s">
        <v>22</v>
      </c>
      <c r="G13" s="31" t="s">
        <v>23</v>
      </c>
    </row>
    <row r="14" customHeight="1" spans="2:7">
      <c r="B14" s="28">
        <v>108</v>
      </c>
      <c r="C14" s="29" t="s">
        <v>24</v>
      </c>
      <c r="D14" s="28" t="s">
        <v>10</v>
      </c>
      <c r="E14" s="30" t="s">
        <v>12</v>
      </c>
      <c r="F14" s="29"/>
      <c r="G14" s="31"/>
    </row>
    <row r="15" customHeight="1" spans="2:7">
      <c r="B15" s="28">
        <v>109</v>
      </c>
      <c r="C15" s="29" t="s">
        <v>25</v>
      </c>
      <c r="D15" s="28" t="s">
        <v>10</v>
      </c>
      <c r="E15" s="30">
        <v>900</v>
      </c>
      <c r="F15" s="29"/>
      <c r="G15" s="31"/>
    </row>
    <row r="16" customHeight="1" spans="2:7">
      <c r="B16" s="28">
        <v>110</v>
      </c>
      <c r="C16" s="29" t="s">
        <v>26</v>
      </c>
      <c r="D16" s="28" t="s">
        <v>10</v>
      </c>
      <c r="E16" s="30" t="s">
        <v>27</v>
      </c>
      <c r="F16" s="29"/>
      <c r="G16" s="31"/>
    </row>
    <row r="17" customHeight="1" spans="2:7">
      <c r="B17" s="28">
        <v>111</v>
      </c>
      <c r="C17" s="29" t="s">
        <v>28</v>
      </c>
      <c r="D17" s="28" t="s">
        <v>10</v>
      </c>
      <c r="E17" s="30" t="s">
        <v>21</v>
      </c>
      <c r="F17" s="29"/>
      <c r="G17" s="31"/>
    </row>
    <row r="18" customHeight="1" spans="2:7">
      <c r="B18" s="28">
        <v>112</v>
      </c>
      <c r="C18" s="29" t="s">
        <v>29</v>
      </c>
      <c r="D18" s="28" t="s">
        <v>10</v>
      </c>
      <c r="E18" s="30">
        <v>600</v>
      </c>
      <c r="F18" s="29"/>
      <c r="G18" s="31"/>
    </row>
    <row r="19" customHeight="1" spans="2:7">
      <c r="B19" s="28">
        <v>113</v>
      </c>
      <c r="C19" s="29" t="s">
        <v>30</v>
      </c>
      <c r="D19" s="28" t="s">
        <v>10</v>
      </c>
      <c r="E19" s="30" t="s">
        <v>12</v>
      </c>
      <c r="F19" s="29" t="s">
        <v>31</v>
      </c>
      <c r="G19" s="31" t="s">
        <v>32</v>
      </c>
    </row>
    <row r="20" customHeight="1" spans="2:7">
      <c r="B20" s="28">
        <v>114</v>
      </c>
      <c r="C20" s="29" t="s">
        <v>33</v>
      </c>
      <c r="D20" s="28" t="s">
        <v>10</v>
      </c>
      <c r="E20" s="30" t="s">
        <v>12</v>
      </c>
      <c r="F20" s="29"/>
      <c r="G20" s="31"/>
    </row>
    <row r="21" customHeight="1" spans="2:7">
      <c r="B21" s="28">
        <v>115</v>
      </c>
      <c r="C21" s="29" t="s">
        <v>34</v>
      </c>
      <c r="D21" s="28" t="s">
        <v>10</v>
      </c>
      <c r="E21" s="30">
        <v>500</v>
      </c>
      <c r="F21" s="29" t="s">
        <v>35</v>
      </c>
      <c r="G21" s="31" t="s">
        <v>36</v>
      </c>
    </row>
    <row r="22" customHeight="1" spans="2:7">
      <c r="B22" s="28">
        <v>116</v>
      </c>
      <c r="C22" s="29" t="s">
        <v>37</v>
      </c>
      <c r="D22" s="28" t="s">
        <v>10</v>
      </c>
      <c r="E22" s="30">
        <v>500</v>
      </c>
      <c r="F22" s="29" t="s">
        <v>38</v>
      </c>
      <c r="G22" s="31" t="s">
        <v>39</v>
      </c>
    </row>
    <row r="23" customHeight="1" spans="2:7">
      <c r="B23" s="28">
        <v>117</v>
      </c>
      <c r="C23" s="29" t="s">
        <v>40</v>
      </c>
      <c r="D23" s="28" t="s">
        <v>10</v>
      </c>
      <c r="E23" s="30" t="s">
        <v>41</v>
      </c>
      <c r="F23" s="29" t="s">
        <v>42</v>
      </c>
      <c r="G23" s="31" t="s">
        <v>43</v>
      </c>
    </row>
    <row r="24" customHeight="1" spans="2:7">
      <c r="B24" s="28">
        <v>118</v>
      </c>
      <c r="C24" s="29" t="s">
        <v>44</v>
      </c>
      <c r="D24" s="28" t="s">
        <v>10</v>
      </c>
      <c r="E24" s="30" t="s">
        <v>12</v>
      </c>
      <c r="F24" s="29"/>
      <c r="G24" s="31"/>
    </row>
    <row r="25" customHeight="1" spans="2:7">
      <c r="B25" s="28">
        <v>119</v>
      </c>
      <c r="C25" s="29" t="s">
        <v>45</v>
      </c>
      <c r="D25" s="28" t="s">
        <v>10</v>
      </c>
      <c r="E25" s="30" t="s">
        <v>12</v>
      </c>
      <c r="F25" s="29"/>
      <c r="G25" s="31"/>
    </row>
    <row r="26" customHeight="1" spans="2:7">
      <c r="B26" s="28">
        <v>120</v>
      </c>
      <c r="C26" s="29" t="s">
        <v>46</v>
      </c>
      <c r="D26" s="28" t="s">
        <v>10</v>
      </c>
      <c r="E26" s="30" t="s">
        <v>47</v>
      </c>
      <c r="F26" s="29"/>
      <c r="G26" s="31"/>
    </row>
    <row r="27" customHeight="1" spans="2:7">
      <c r="B27" s="28">
        <v>121</v>
      </c>
      <c r="C27" s="29" t="s">
        <v>48</v>
      </c>
      <c r="D27" s="28" t="s">
        <v>10</v>
      </c>
      <c r="E27" s="30" t="s">
        <v>49</v>
      </c>
      <c r="F27" s="29" t="s">
        <v>50</v>
      </c>
      <c r="G27" s="31" t="s">
        <v>51</v>
      </c>
    </row>
    <row r="28" customHeight="1" spans="2:7">
      <c r="B28" s="28">
        <v>122</v>
      </c>
      <c r="C28" s="29" t="s">
        <v>52</v>
      </c>
      <c r="D28" s="28" t="s">
        <v>10</v>
      </c>
      <c r="E28" s="30" t="s">
        <v>12</v>
      </c>
      <c r="F28" s="29"/>
      <c r="G28" s="31"/>
    </row>
    <row r="29" customHeight="1" spans="2:7">
      <c r="B29" s="28">
        <v>123</v>
      </c>
      <c r="C29" s="29" t="s">
        <v>53</v>
      </c>
      <c r="D29" s="28" t="s">
        <v>10</v>
      </c>
      <c r="E29" s="30" t="s">
        <v>12</v>
      </c>
      <c r="F29" s="29" t="s">
        <v>54</v>
      </c>
      <c r="G29" s="31" t="s">
        <v>55</v>
      </c>
    </row>
    <row r="30" customHeight="1" spans="2:7">
      <c r="B30" s="28">
        <v>124</v>
      </c>
      <c r="C30" s="29" t="s">
        <v>56</v>
      </c>
      <c r="D30" s="28" t="s">
        <v>10</v>
      </c>
      <c r="E30" s="30">
        <v>350</v>
      </c>
      <c r="F30" s="29"/>
      <c r="G30" s="31"/>
    </row>
    <row r="31" customHeight="1" spans="2:7">
      <c r="B31" s="28">
        <v>125</v>
      </c>
      <c r="C31" s="29" t="s">
        <v>57</v>
      </c>
      <c r="D31" s="28" t="s">
        <v>10</v>
      </c>
      <c r="E31" s="30" t="s">
        <v>58</v>
      </c>
      <c r="F31" s="29"/>
      <c r="G31" s="31"/>
    </row>
    <row r="32" customHeight="1" spans="2:7">
      <c r="B32" s="28">
        <v>126</v>
      </c>
      <c r="C32" s="32" t="s">
        <v>59</v>
      </c>
      <c r="D32" s="28" t="s">
        <v>60</v>
      </c>
      <c r="E32" s="30" t="s">
        <v>12</v>
      </c>
      <c r="F32" s="29"/>
      <c r="G32" s="31"/>
    </row>
    <row r="33" customHeight="1" spans="2:7">
      <c r="B33" s="28">
        <v>127</v>
      </c>
      <c r="C33" s="29" t="s">
        <v>61</v>
      </c>
      <c r="D33" s="28" t="s">
        <v>60</v>
      </c>
      <c r="E33" s="30" t="s">
        <v>58</v>
      </c>
      <c r="F33" s="29"/>
      <c r="G33" s="31"/>
    </row>
    <row r="34" customHeight="1" spans="2:7">
      <c r="B34" s="28">
        <v>128</v>
      </c>
      <c r="C34" s="29" t="s">
        <v>62</v>
      </c>
      <c r="D34" s="28" t="s">
        <v>60</v>
      </c>
      <c r="E34" s="30" t="s">
        <v>12</v>
      </c>
      <c r="F34" s="29"/>
      <c r="G34" s="31"/>
    </row>
    <row r="35" customHeight="1" spans="2:7">
      <c r="B35" s="28">
        <v>129</v>
      </c>
      <c r="C35" s="29" t="s">
        <v>63</v>
      </c>
      <c r="D35" s="28" t="s">
        <v>60</v>
      </c>
      <c r="E35" s="30">
        <v>550</v>
      </c>
      <c r="F35" s="29"/>
      <c r="G35" s="31"/>
    </row>
    <row r="36" customHeight="1" spans="2:7">
      <c r="B36" s="28">
        <v>130</v>
      </c>
      <c r="C36" s="29" t="s">
        <v>64</v>
      </c>
      <c r="D36" s="28" t="s">
        <v>60</v>
      </c>
      <c r="E36" s="30" t="s">
        <v>65</v>
      </c>
      <c r="F36" s="29"/>
      <c r="G36" s="31"/>
    </row>
    <row r="37" customHeight="1" spans="2:7">
      <c r="B37" s="28">
        <v>131</v>
      </c>
      <c r="C37" s="29" t="s">
        <v>66</v>
      </c>
      <c r="D37" s="28" t="s">
        <v>60</v>
      </c>
      <c r="E37" s="30" t="s">
        <v>12</v>
      </c>
      <c r="F37" s="29"/>
      <c r="G37" s="31"/>
    </row>
    <row r="38" customHeight="1" spans="2:7">
      <c r="B38" s="28">
        <v>132</v>
      </c>
      <c r="C38" s="29" t="s">
        <v>67</v>
      </c>
      <c r="D38" s="28" t="s">
        <v>60</v>
      </c>
      <c r="E38" s="30" t="s">
        <v>12</v>
      </c>
      <c r="F38" s="29" t="s">
        <v>68</v>
      </c>
      <c r="G38" s="31" t="s">
        <v>69</v>
      </c>
    </row>
    <row r="39" customHeight="1" spans="2:7">
      <c r="B39" s="28">
        <v>133</v>
      </c>
      <c r="C39" s="29" t="s">
        <v>70</v>
      </c>
      <c r="D39" s="28" t="s">
        <v>60</v>
      </c>
      <c r="E39" s="30">
        <v>500</v>
      </c>
      <c r="F39" s="29"/>
      <c r="G39" s="31"/>
    </row>
    <row r="40" customHeight="1" spans="2:7">
      <c r="B40" s="28">
        <v>134</v>
      </c>
      <c r="C40" s="29" t="s">
        <v>71</v>
      </c>
      <c r="D40" s="28" t="s">
        <v>60</v>
      </c>
      <c r="E40" s="30">
        <v>500</v>
      </c>
      <c r="F40" s="29"/>
      <c r="G40" s="31"/>
    </row>
    <row r="41" customHeight="1" spans="2:7">
      <c r="B41" s="28">
        <v>135</v>
      </c>
      <c r="C41" s="29" t="s">
        <v>72</v>
      </c>
      <c r="D41" s="28" t="s">
        <v>60</v>
      </c>
      <c r="E41" s="30">
        <v>200</v>
      </c>
      <c r="F41" s="29"/>
      <c r="G41" s="31"/>
    </row>
    <row r="42" customHeight="1" spans="2:7">
      <c r="B42" s="28">
        <v>136</v>
      </c>
      <c r="C42" s="29" t="s">
        <v>73</v>
      </c>
      <c r="D42" s="28" t="s">
        <v>60</v>
      </c>
      <c r="E42" s="30" t="s">
        <v>12</v>
      </c>
      <c r="F42" s="29"/>
      <c r="G42" s="31"/>
    </row>
    <row r="43" customHeight="1" spans="2:7">
      <c r="B43" s="28">
        <v>137</v>
      </c>
      <c r="C43" s="29" t="s">
        <v>74</v>
      </c>
      <c r="D43" s="28" t="s">
        <v>60</v>
      </c>
      <c r="E43" s="30">
        <v>400</v>
      </c>
      <c r="F43" s="29" t="s">
        <v>75</v>
      </c>
      <c r="G43" s="31" t="s">
        <v>76</v>
      </c>
    </row>
    <row r="44" customHeight="1" spans="2:7">
      <c r="B44" s="28">
        <v>138</v>
      </c>
      <c r="C44" s="29" t="s">
        <v>77</v>
      </c>
      <c r="D44" s="28" t="s">
        <v>60</v>
      </c>
      <c r="E44" s="30" t="s">
        <v>12</v>
      </c>
      <c r="F44" s="29"/>
      <c r="G44" s="31"/>
    </row>
    <row r="45" customHeight="1" spans="2:7">
      <c r="B45" s="28">
        <v>139</v>
      </c>
      <c r="C45" s="29" t="s">
        <v>78</v>
      </c>
      <c r="D45" s="28" t="s">
        <v>60</v>
      </c>
      <c r="E45" s="30" t="s">
        <v>12</v>
      </c>
      <c r="F45" s="29"/>
      <c r="G45" s="31"/>
    </row>
    <row r="46" customHeight="1" spans="2:7">
      <c r="B46" s="28">
        <v>140</v>
      </c>
      <c r="C46" s="29" t="s">
        <v>79</v>
      </c>
      <c r="D46" s="28" t="s">
        <v>60</v>
      </c>
      <c r="E46" s="30">
        <v>100</v>
      </c>
      <c r="F46" s="29" t="s">
        <v>80</v>
      </c>
      <c r="G46" s="31" t="s">
        <v>81</v>
      </c>
    </row>
    <row r="47" customHeight="1" spans="2:7">
      <c r="B47" s="28">
        <v>141</v>
      </c>
      <c r="C47" s="29" t="s">
        <v>82</v>
      </c>
      <c r="D47" s="28" t="s">
        <v>60</v>
      </c>
      <c r="E47" s="30">
        <v>700</v>
      </c>
      <c r="F47" s="29" t="s">
        <v>83</v>
      </c>
      <c r="G47" s="31" t="s">
        <v>84</v>
      </c>
    </row>
    <row r="48" customHeight="1" spans="2:7">
      <c r="B48" s="28">
        <v>142</v>
      </c>
      <c r="C48" s="29" t="s">
        <v>85</v>
      </c>
      <c r="D48" s="28" t="s">
        <v>60</v>
      </c>
      <c r="E48" s="30" t="s">
        <v>47</v>
      </c>
      <c r="F48" s="29" t="s">
        <v>86</v>
      </c>
      <c r="G48" s="33">
        <v>794622368</v>
      </c>
    </row>
    <row r="49" customHeight="1" spans="2:7">
      <c r="B49" s="28">
        <v>143</v>
      </c>
      <c r="C49" s="29" t="s">
        <v>87</v>
      </c>
      <c r="D49" s="28" t="s">
        <v>60</v>
      </c>
      <c r="E49" s="30" t="s">
        <v>12</v>
      </c>
      <c r="F49" s="29" t="s">
        <v>88</v>
      </c>
      <c r="G49" s="31" t="s">
        <v>89</v>
      </c>
    </row>
    <row r="50" customHeight="1" spans="2:7">
      <c r="B50" s="28">
        <v>144</v>
      </c>
      <c r="C50" s="29" t="s">
        <v>90</v>
      </c>
      <c r="D50" s="28" t="s">
        <v>60</v>
      </c>
      <c r="E50" s="30">
        <v>380</v>
      </c>
      <c r="F50" s="29"/>
      <c r="G50" s="31"/>
    </row>
    <row r="51" customHeight="1" spans="2:7">
      <c r="B51" s="28">
        <v>145</v>
      </c>
      <c r="C51" s="29" t="s">
        <v>91</v>
      </c>
      <c r="D51" s="28" t="s">
        <v>60</v>
      </c>
      <c r="E51" s="30" t="s">
        <v>92</v>
      </c>
      <c r="F51" s="29"/>
      <c r="G51" s="31"/>
    </row>
    <row r="52" customHeight="1" spans="2:7">
      <c r="B52" s="28">
        <v>146</v>
      </c>
      <c r="C52" s="29" t="s">
        <v>93</v>
      </c>
      <c r="D52" s="28" t="s">
        <v>60</v>
      </c>
      <c r="E52" s="30">
        <v>200</v>
      </c>
      <c r="F52" s="29"/>
      <c r="G52" s="31"/>
    </row>
    <row r="53" customHeight="1" spans="2:7">
      <c r="B53" s="28">
        <v>147</v>
      </c>
      <c r="C53" s="29" t="s">
        <v>94</v>
      </c>
      <c r="D53" s="28" t="s">
        <v>60</v>
      </c>
      <c r="E53" s="30">
        <v>200</v>
      </c>
      <c r="F53" s="29" t="s">
        <v>95</v>
      </c>
      <c r="G53" s="31" t="s">
        <v>96</v>
      </c>
    </row>
    <row r="54" customHeight="1" spans="2:7">
      <c r="B54" s="28">
        <v>148</v>
      </c>
      <c r="C54" s="29" t="s">
        <v>97</v>
      </c>
      <c r="D54" s="28" t="s">
        <v>60</v>
      </c>
      <c r="E54" s="30" t="s">
        <v>98</v>
      </c>
      <c r="F54" s="29"/>
      <c r="G54" s="31"/>
    </row>
    <row r="55" customHeight="1" spans="2:7">
      <c r="B55" s="28">
        <v>149</v>
      </c>
      <c r="C55" s="29" t="s">
        <v>99</v>
      </c>
      <c r="D55" s="28" t="s">
        <v>60</v>
      </c>
      <c r="E55" s="30" t="s">
        <v>12</v>
      </c>
      <c r="F55" s="29"/>
      <c r="G55" s="31"/>
    </row>
    <row r="56" customHeight="1" spans="2:7">
      <c r="B56" s="28">
        <v>150</v>
      </c>
      <c r="C56" s="29" t="s">
        <v>100</v>
      </c>
      <c r="D56" s="28" t="s">
        <v>60</v>
      </c>
      <c r="E56" s="30" t="s">
        <v>12</v>
      </c>
      <c r="F56" s="29"/>
      <c r="G56" s="31"/>
    </row>
    <row r="57" customHeight="1" spans="2:7">
      <c r="B57" s="28">
        <v>151</v>
      </c>
      <c r="C57" s="29" t="s">
        <v>101</v>
      </c>
      <c r="D57" s="28" t="s">
        <v>60</v>
      </c>
      <c r="E57" s="30" t="s">
        <v>12</v>
      </c>
      <c r="F57" s="29"/>
      <c r="G57" s="31"/>
    </row>
    <row r="58" customHeight="1" spans="2:7">
      <c r="B58" s="28">
        <v>152</v>
      </c>
      <c r="C58" s="29" t="s">
        <v>102</v>
      </c>
      <c r="D58" s="28" t="s">
        <v>60</v>
      </c>
      <c r="E58" s="30" t="s">
        <v>12</v>
      </c>
      <c r="F58" s="29"/>
      <c r="G58" s="31"/>
    </row>
    <row r="59" customHeight="1" spans="2:7">
      <c r="B59" s="28">
        <v>153</v>
      </c>
      <c r="C59" s="29" t="s">
        <v>103</v>
      </c>
      <c r="D59" s="28" t="s">
        <v>60</v>
      </c>
      <c r="E59" s="30" t="s">
        <v>12</v>
      </c>
      <c r="F59" s="29" t="s">
        <v>104</v>
      </c>
      <c r="G59" s="31" t="s">
        <v>105</v>
      </c>
    </row>
    <row r="60" customHeight="1" spans="2:7">
      <c r="B60" s="28">
        <v>154</v>
      </c>
      <c r="C60" s="29" t="s">
        <v>106</v>
      </c>
      <c r="D60" s="28" t="s">
        <v>60</v>
      </c>
      <c r="E60" s="30" t="s">
        <v>107</v>
      </c>
      <c r="F60" s="29"/>
      <c r="G60" s="31"/>
    </row>
    <row r="61" customHeight="1" spans="2:7">
      <c r="B61" s="28">
        <v>155</v>
      </c>
      <c r="C61" s="29" t="s">
        <v>108</v>
      </c>
      <c r="D61" s="28" t="s">
        <v>60</v>
      </c>
      <c r="E61" s="30" t="s">
        <v>47</v>
      </c>
      <c r="F61" s="29"/>
      <c r="G61" s="31"/>
    </row>
    <row r="62" customHeight="1" spans="2:7">
      <c r="B62" s="28">
        <v>156</v>
      </c>
      <c r="C62" s="29" t="s">
        <v>109</v>
      </c>
      <c r="D62" s="28" t="s">
        <v>60</v>
      </c>
      <c r="E62" s="30" t="s">
        <v>12</v>
      </c>
      <c r="F62" s="29"/>
      <c r="G62" s="31"/>
    </row>
    <row r="63" customHeight="1" spans="2:7">
      <c r="B63" s="28">
        <v>157</v>
      </c>
      <c r="C63" s="29" t="s">
        <v>110</v>
      </c>
      <c r="D63" s="28" t="s">
        <v>60</v>
      </c>
      <c r="E63" s="30" t="s">
        <v>111</v>
      </c>
      <c r="F63" s="29"/>
      <c r="G63" s="31"/>
    </row>
    <row r="64" customHeight="1" spans="2:7">
      <c r="B64" s="28">
        <v>158</v>
      </c>
      <c r="C64" s="29" t="s">
        <v>112</v>
      </c>
      <c r="D64" s="28" t="s">
        <v>60</v>
      </c>
      <c r="E64" s="30" t="s">
        <v>12</v>
      </c>
      <c r="F64" s="29" t="s">
        <v>113</v>
      </c>
      <c r="G64" s="31" t="s">
        <v>114</v>
      </c>
    </row>
    <row r="65" customHeight="1" spans="2:7">
      <c r="B65" s="28">
        <v>159</v>
      </c>
      <c r="C65" s="29" t="s">
        <v>115</v>
      </c>
      <c r="D65" s="28" t="s">
        <v>60</v>
      </c>
      <c r="E65" s="30">
        <v>900</v>
      </c>
      <c r="F65" s="29"/>
      <c r="G65" s="31"/>
    </row>
    <row r="66" customHeight="1" spans="2:7">
      <c r="B66" s="28">
        <v>160</v>
      </c>
      <c r="C66" s="29" t="s">
        <v>116</v>
      </c>
      <c r="D66" s="28" t="s">
        <v>60</v>
      </c>
      <c r="E66" s="30" t="s">
        <v>12</v>
      </c>
      <c r="F66" s="29"/>
      <c r="G66" s="31"/>
    </row>
    <row r="67" customHeight="1" spans="2:7">
      <c r="B67" s="28">
        <v>161</v>
      </c>
      <c r="C67" s="29" t="s">
        <v>117</v>
      </c>
      <c r="D67" s="28" t="s">
        <v>60</v>
      </c>
      <c r="E67" s="30" t="s">
        <v>12</v>
      </c>
      <c r="F67" s="29"/>
      <c r="G67" s="31"/>
    </row>
    <row r="68" customHeight="1" spans="2:7">
      <c r="B68" s="28">
        <v>162</v>
      </c>
      <c r="C68" s="29" t="s">
        <v>118</v>
      </c>
      <c r="D68" s="28" t="s">
        <v>60</v>
      </c>
      <c r="E68" s="30" t="s">
        <v>12</v>
      </c>
      <c r="F68" s="29"/>
      <c r="G68" s="31"/>
    </row>
    <row r="69" customHeight="1" spans="2:7">
      <c r="B69" s="28">
        <v>163</v>
      </c>
      <c r="C69" s="29" t="s">
        <v>119</v>
      </c>
      <c r="D69" s="28" t="s">
        <v>60</v>
      </c>
      <c r="E69" s="30" t="s">
        <v>120</v>
      </c>
      <c r="F69" s="29"/>
      <c r="G69" s="31"/>
    </row>
    <row r="70" customHeight="1" spans="2:7">
      <c r="B70" s="28">
        <v>164</v>
      </c>
      <c r="C70" s="29" t="s">
        <v>121</v>
      </c>
      <c r="D70" s="28" t="s">
        <v>60</v>
      </c>
      <c r="E70" s="30" t="s">
        <v>12</v>
      </c>
      <c r="F70" s="29"/>
      <c r="G70" s="31"/>
    </row>
    <row r="71" customHeight="1" spans="2:7">
      <c r="B71" s="28">
        <v>165</v>
      </c>
      <c r="C71" s="29" t="s">
        <v>122</v>
      </c>
      <c r="D71" s="28" t="s">
        <v>60</v>
      </c>
      <c r="E71" s="30" t="s">
        <v>12</v>
      </c>
      <c r="F71" s="29" t="s">
        <v>123</v>
      </c>
      <c r="G71" s="31" t="s">
        <v>124</v>
      </c>
    </row>
    <row r="72" customHeight="1" spans="2:7">
      <c r="B72" s="28">
        <v>166</v>
      </c>
      <c r="C72" s="29" t="s">
        <v>125</v>
      </c>
      <c r="D72" s="28" t="s">
        <v>126</v>
      </c>
      <c r="E72" s="30">
        <v>50</v>
      </c>
      <c r="F72" s="29"/>
      <c r="G72" s="31"/>
    </row>
    <row r="73" customHeight="1" spans="2:7">
      <c r="B73" s="28">
        <v>167</v>
      </c>
      <c r="C73" s="29" t="s">
        <v>127</v>
      </c>
      <c r="D73" s="28" t="s">
        <v>126</v>
      </c>
      <c r="E73" s="30" t="s">
        <v>12</v>
      </c>
      <c r="F73" s="29"/>
      <c r="G73" s="31"/>
    </row>
    <row r="74" customHeight="1" spans="2:7">
      <c r="B74" s="28">
        <v>168</v>
      </c>
      <c r="C74" s="29" t="s">
        <v>128</v>
      </c>
      <c r="D74" s="28" t="s">
        <v>126</v>
      </c>
      <c r="E74" s="30" t="s">
        <v>12</v>
      </c>
      <c r="F74" s="29"/>
      <c r="G74" s="31"/>
    </row>
    <row r="75" customHeight="1" spans="2:7">
      <c r="B75" s="28">
        <v>169</v>
      </c>
      <c r="C75" s="29" t="s">
        <v>129</v>
      </c>
      <c r="D75" s="28" t="s">
        <v>126</v>
      </c>
      <c r="E75" s="30" t="s">
        <v>130</v>
      </c>
      <c r="F75" s="29" t="s">
        <v>131</v>
      </c>
      <c r="G75" s="31" t="s">
        <v>132</v>
      </c>
    </row>
    <row r="76" customHeight="1" spans="2:7">
      <c r="B76" s="28">
        <v>170</v>
      </c>
      <c r="C76" s="29" t="s">
        <v>133</v>
      </c>
      <c r="D76" s="28" t="s">
        <v>126</v>
      </c>
      <c r="E76" s="30">
        <v>400</v>
      </c>
      <c r="F76" s="29"/>
      <c r="G76" s="31"/>
    </row>
    <row r="77" customHeight="1" spans="2:7">
      <c r="B77" s="28">
        <v>171</v>
      </c>
      <c r="C77" s="29" t="s">
        <v>134</v>
      </c>
      <c r="D77" s="28" t="s">
        <v>126</v>
      </c>
      <c r="E77" s="30">
        <v>400</v>
      </c>
      <c r="F77" s="29"/>
      <c r="G77" s="31"/>
    </row>
    <row r="78" customHeight="1" spans="2:7">
      <c r="B78" s="28">
        <v>172</v>
      </c>
      <c r="C78" s="29" t="s">
        <v>135</v>
      </c>
      <c r="D78" s="28" t="s">
        <v>126</v>
      </c>
      <c r="E78" s="30" t="s">
        <v>136</v>
      </c>
      <c r="F78" s="29"/>
      <c r="G78" s="31"/>
    </row>
    <row r="79" customHeight="1" spans="2:7">
      <c r="B79" s="28">
        <v>173</v>
      </c>
      <c r="C79" s="29" t="s">
        <v>137</v>
      </c>
      <c r="D79" s="28" t="s">
        <v>126</v>
      </c>
      <c r="E79" s="30">
        <v>700</v>
      </c>
      <c r="F79" s="29"/>
      <c r="G79" s="31"/>
    </row>
    <row r="80" customHeight="1" spans="2:7">
      <c r="B80" s="28">
        <v>174</v>
      </c>
      <c r="C80" s="29" t="s">
        <v>138</v>
      </c>
      <c r="D80" s="28" t="s">
        <v>126</v>
      </c>
      <c r="E80" s="30" t="s">
        <v>12</v>
      </c>
      <c r="F80" s="29" t="s">
        <v>139</v>
      </c>
      <c r="G80" s="31" t="s">
        <v>140</v>
      </c>
    </row>
    <row r="81" customHeight="1" spans="2:7">
      <c r="B81" s="28">
        <v>175</v>
      </c>
      <c r="C81" s="29" t="s">
        <v>141</v>
      </c>
      <c r="D81" s="28" t="s">
        <v>126</v>
      </c>
      <c r="E81" s="30" t="s">
        <v>12</v>
      </c>
      <c r="F81" s="29"/>
      <c r="G81" s="31"/>
    </row>
    <row r="82" customHeight="1" spans="2:7">
      <c r="B82" s="28">
        <v>176</v>
      </c>
      <c r="C82" s="29" t="s">
        <v>142</v>
      </c>
      <c r="D82" s="28" t="s">
        <v>126</v>
      </c>
      <c r="E82" s="30" t="s">
        <v>143</v>
      </c>
      <c r="F82" s="29"/>
      <c r="G82" s="31"/>
    </row>
    <row r="83" customHeight="1" spans="2:7">
      <c r="B83" s="28">
        <v>177</v>
      </c>
      <c r="C83" s="29" t="s">
        <v>144</v>
      </c>
      <c r="D83" s="28" t="s">
        <v>126</v>
      </c>
      <c r="E83" s="30" t="s">
        <v>12</v>
      </c>
      <c r="F83" s="29"/>
      <c r="G83" s="31"/>
    </row>
    <row r="84" customHeight="1" spans="2:7">
      <c r="B84" s="28">
        <v>178</v>
      </c>
      <c r="C84" s="29" t="s">
        <v>145</v>
      </c>
      <c r="D84" s="28" t="s">
        <v>126</v>
      </c>
      <c r="E84" s="30" t="s">
        <v>12</v>
      </c>
      <c r="F84" s="29"/>
      <c r="G84" s="31"/>
    </row>
    <row r="85" customHeight="1" spans="2:7">
      <c r="B85" s="28">
        <v>179</v>
      </c>
      <c r="C85" s="29" t="s">
        <v>146</v>
      </c>
      <c r="D85" s="28" t="s">
        <v>126</v>
      </c>
      <c r="E85" s="30" t="s">
        <v>12</v>
      </c>
      <c r="F85" s="29"/>
      <c r="G85" s="31"/>
    </row>
    <row r="86" customHeight="1" spans="2:7">
      <c r="B86" s="28">
        <v>180</v>
      </c>
      <c r="C86" s="29" t="s">
        <v>147</v>
      </c>
      <c r="D86" s="28" t="s">
        <v>126</v>
      </c>
      <c r="E86" s="30" t="s">
        <v>41</v>
      </c>
      <c r="F86" s="29"/>
      <c r="G86" s="31"/>
    </row>
    <row r="87" customHeight="1" spans="2:7">
      <c r="B87" s="28">
        <v>181</v>
      </c>
      <c r="C87" s="29" t="s">
        <v>148</v>
      </c>
      <c r="D87" s="28" t="s">
        <v>126</v>
      </c>
      <c r="E87" s="30" t="s">
        <v>12</v>
      </c>
      <c r="F87" s="29" t="s">
        <v>149</v>
      </c>
      <c r="G87" s="31" t="s">
        <v>150</v>
      </c>
    </row>
    <row r="88" customHeight="1" spans="2:7">
      <c r="B88" s="28">
        <v>182</v>
      </c>
      <c r="C88" s="29" t="s">
        <v>151</v>
      </c>
      <c r="D88" s="28" t="s">
        <v>126</v>
      </c>
      <c r="E88" s="30">
        <v>500</v>
      </c>
      <c r="F88" s="29" t="s">
        <v>152</v>
      </c>
      <c r="G88" s="31" t="s">
        <v>153</v>
      </c>
    </row>
    <row r="89" customHeight="1" spans="2:7">
      <c r="B89" s="28">
        <v>183</v>
      </c>
      <c r="C89" s="29" t="s">
        <v>154</v>
      </c>
      <c r="D89" s="28" t="s">
        <v>126</v>
      </c>
      <c r="E89" s="30" t="s">
        <v>12</v>
      </c>
      <c r="F89" s="29" t="s">
        <v>155</v>
      </c>
      <c r="G89" s="31" t="s">
        <v>156</v>
      </c>
    </row>
    <row r="90" customHeight="1" spans="2:7">
      <c r="B90" s="28">
        <v>184</v>
      </c>
      <c r="C90" s="29" t="s">
        <v>157</v>
      </c>
      <c r="D90" s="28" t="s">
        <v>126</v>
      </c>
      <c r="E90" s="30" t="s">
        <v>158</v>
      </c>
      <c r="F90" s="29" t="s">
        <v>159</v>
      </c>
      <c r="G90" s="31" t="s">
        <v>160</v>
      </c>
    </row>
    <row r="91" customHeight="1" spans="2:7">
      <c r="B91" s="28">
        <v>185</v>
      </c>
      <c r="C91" s="29" t="s">
        <v>161</v>
      </c>
      <c r="D91" s="28" t="s">
        <v>126</v>
      </c>
      <c r="E91" s="30">
        <v>100</v>
      </c>
      <c r="F91" s="29" t="s">
        <v>162</v>
      </c>
      <c r="G91" s="31"/>
    </row>
    <row r="92" customHeight="1" spans="2:7">
      <c r="B92" s="28">
        <v>186</v>
      </c>
      <c r="C92" s="29" t="s">
        <v>163</v>
      </c>
      <c r="D92" s="28" t="s">
        <v>126</v>
      </c>
      <c r="E92" s="30" t="s">
        <v>130</v>
      </c>
      <c r="F92" s="29"/>
      <c r="G92" s="31"/>
    </row>
    <row r="93" customHeight="1" spans="2:7">
      <c r="B93" s="28">
        <v>187</v>
      </c>
      <c r="C93" s="29" t="s">
        <v>164</v>
      </c>
      <c r="D93" s="28" t="s">
        <v>126</v>
      </c>
      <c r="E93" s="30" t="s">
        <v>165</v>
      </c>
      <c r="F93" s="29"/>
      <c r="G93" s="31"/>
    </row>
    <row r="94" customHeight="1" spans="2:7">
      <c r="B94" s="28">
        <v>188</v>
      </c>
      <c r="C94" s="29" t="s">
        <v>166</v>
      </c>
      <c r="D94" s="28" t="s">
        <v>126</v>
      </c>
      <c r="E94" s="30" t="s">
        <v>12</v>
      </c>
      <c r="F94" s="29"/>
      <c r="G94" s="31"/>
    </row>
    <row r="95" customHeight="1" spans="2:7">
      <c r="B95" s="28">
        <v>189</v>
      </c>
      <c r="C95" s="29" t="s">
        <v>167</v>
      </c>
      <c r="D95" s="28" t="s">
        <v>126</v>
      </c>
      <c r="E95" s="30" t="s">
        <v>12</v>
      </c>
      <c r="F95" s="29"/>
      <c r="G95" s="31"/>
    </row>
    <row r="96" customHeight="1" spans="2:7">
      <c r="B96" s="28">
        <v>190</v>
      </c>
      <c r="C96" s="29" t="s">
        <v>168</v>
      </c>
      <c r="D96" s="28" t="s">
        <v>126</v>
      </c>
      <c r="E96" s="30" t="s">
        <v>12</v>
      </c>
      <c r="F96" s="29" t="s">
        <v>169</v>
      </c>
      <c r="G96" s="31" t="s">
        <v>170</v>
      </c>
    </row>
    <row r="97" customHeight="1" spans="2:7">
      <c r="B97" s="28">
        <v>191</v>
      </c>
      <c r="C97" s="29" t="s">
        <v>171</v>
      </c>
      <c r="D97" s="28" t="s">
        <v>126</v>
      </c>
      <c r="E97" s="30">
        <v>200</v>
      </c>
      <c r="F97" s="29" t="s">
        <v>172</v>
      </c>
      <c r="G97" s="31" t="s">
        <v>173</v>
      </c>
    </row>
    <row r="98" customHeight="1" spans="2:7">
      <c r="B98" s="28">
        <v>192</v>
      </c>
      <c r="C98" s="29" t="s">
        <v>174</v>
      </c>
      <c r="D98" s="28" t="s">
        <v>126</v>
      </c>
      <c r="E98" s="30" t="s">
        <v>12</v>
      </c>
      <c r="F98" s="29" t="s">
        <v>175</v>
      </c>
      <c r="G98" s="31" t="s">
        <v>176</v>
      </c>
    </row>
    <row r="99" customHeight="1" spans="2:7">
      <c r="B99" s="28">
        <v>193</v>
      </c>
      <c r="C99" s="29" t="s">
        <v>177</v>
      </c>
      <c r="D99" s="28" t="s">
        <v>126</v>
      </c>
      <c r="E99" s="30">
        <v>200</v>
      </c>
      <c r="F99" s="29"/>
      <c r="G99" s="31"/>
    </row>
    <row r="100" customHeight="1" spans="2:7">
      <c r="B100" s="28">
        <v>194</v>
      </c>
      <c r="C100" s="29" t="s">
        <v>178</v>
      </c>
      <c r="D100" s="28" t="s">
        <v>126</v>
      </c>
      <c r="E100" s="30">
        <v>50</v>
      </c>
      <c r="F100" s="29"/>
      <c r="G100" s="31"/>
    </row>
    <row r="101" customHeight="1" spans="2:7">
      <c r="B101" s="28">
        <v>195</v>
      </c>
      <c r="C101" s="29" t="s">
        <v>179</v>
      </c>
      <c r="D101" s="28" t="s">
        <v>126</v>
      </c>
      <c r="E101" s="30" t="s">
        <v>12</v>
      </c>
      <c r="F101" s="29"/>
      <c r="G101" s="31"/>
    </row>
    <row r="102" customHeight="1" spans="2:7">
      <c r="B102" s="28">
        <v>196</v>
      </c>
      <c r="C102" s="29" t="s">
        <v>180</v>
      </c>
      <c r="D102" s="28" t="s">
        <v>126</v>
      </c>
      <c r="E102" s="30" t="s">
        <v>12</v>
      </c>
      <c r="F102" s="29"/>
      <c r="G102" s="31"/>
    </row>
    <row r="103" customHeight="1" spans="2:7">
      <c r="B103" s="28">
        <v>197</v>
      </c>
      <c r="C103" s="29" t="s">
        <v>181</v>
      </c>
      <c r="D103" s="28" t="s">
        <v>126</v>
      </c>
      <c r="E103" s="30" t="s">
        <v>12</v>
      </c>
      <c r="F103" s="29"/>
      <c r="G103" s="31"/>
    </row>
    <row r="104" customHeight="1" spans="2:7">
      <c r="B104" s="28">
        <v>198</v>
      </c>
      <c r="C104" s="29" t="s">
        <v>182</v>
      </c>
      <c r="D104" s="28" t="s">
        <v>126</v>
      </c>
      <c r="E104" s="30">
        <v>500</v>
      </c>
      <c r="F104" s="29"/>
      <c r="G104" s="31"/>
    </row>
    <row r="105" customHeight="1" spans="2:7">
      <c r="B105" s="28">
        <v>199</v>
      </c>
      <c r="C105" s="29" t="s">
        <v>183</v>
      </c>
      <c r="D105" s="28" t="s">
        <v>126</v>
      </c>
      <c r="E105" s="30">
        <v>700</v>
      </c>
      <c r="F105" s="29"/>
      <c r="G105" s="31"/>
    </row>
    <row r="106" customHeight="1" spans="2:7">
      <c r="B106" s="28">
        <v>200</v>
      </c>
      <c r="C106" s="29" t="s">
        <v>184</v>
      </c>
      <c r="D106" s="28" t="s">
        <v>126</v>
      </c>
      <c r="E106" s="30" t="s">
        <v>12</v>
      </c>
      <c r="F106" s="29"/>
      <c r="G106" s="31"/>
    </row>
    <row r="107" customHeight="1" spans="2:7">
      <c r="B107" s="28">
        <v>201</v>
      </c>
      <c r="C107" s="29" t="s">
        <v>185</v>
      </c>
      <c r="D107" s="28" t="s">
        <v>186</v>
      </c>
      <c r="E107" s="30" t="s">
        <v>12</v>
      </c>
      <c r="F107" s="29"/>
      <c r="G107" s="31"/>
    </row>
    <row r="108" customHeight="1" spans="2:7">
      <c r="B108" s="28">
        <v>202</v>
      </c>
      <c r="C108" s="29" t="s">
        <v>187</v>
      </c>
      <c r="D108" s="28" t="s">
        <v>186</v>
      </c>
      <c r="E108" s="30" t="s">
        <v>27</v>
      </c>
      <c r="F108" s="29"/>
      <c r="G108" s="31"/>
    </row>
    <row r="109" customHeight="1" spans="2:7">
      <c r="B109" s="28">
        <v>203</v>
      </c>
      <c r="C109" s="29" t="s">
        <v>188</v>
      </c>
      <c r="D109" s="28" t="s">
        <v>186</v>
      </c>
      <c r="E109" s="30" t="s">
        <v>189</v>
      </c>
      <c r="F109" s="29"/>
      <c r="G109" s="31"/>
    </row>
    <row r="110" customHeight="1" spans="2:7">
      <c r="B110" s="28">
        <v>204</v>
      </c>
      <c r="C110" s="29" t="s">
        <v>190</v>
      </c>
      <c r="D110" s="28" t="s">
        <v>186</v>
      </c>
      <c r="E110" s="30">
        <v>900</v>
      </c>
      <c r="F110" s="29"/>
      <c r="G110" s="31"/>
    </row>
    <row r="111" customHeight="1" spans="2:7">
      <c r="B111" s="28">
        <v>205</v>
      </c>
      <c r="C111" s="29" t="s">
        <v>191</v>
      </c>
      <c r="D111" s="28" t="s">
        <v>186</v>
      </c>
      <c r="E111" s="30">
        <v>200</v>
      </c>
      <c r="F111" s="29"/>
      <c r="G111" s="31"/>
    </row>
    <row r="112" customHeight="1" spans="2:7">
      <c r="B112" s="28">
        <v>206</v>
      </c>
      <c r="C112" s="29" t="s">
        <v>192</v>
      </c>
      <c r="D112" s="28" t="s">
        <v>186</v>
      </c>
      <c r="E112" s="30" t="s">
        <v>189</v>
      </c>
      <c r="F112" s="29"/>
      <c r="G112" s="31"/>
    </row>
    <row r="113" customHeight="1" spans="2:7">
      <c r="B113" s="28">
        <v>207</v>
      </c>
      <c r="C113" s="29" t="s">
        <v>193</v>
      </c>
      <c r="D113" s="28" t="s">
        <v>186</v>
      </c>
      <c r="E113" s="30" t="s">
        <v>165</v>
      </c>
      <c r="F113" s="29"/>
      <c r="G113" s="31"/>
    </row>
    <row r="114" customHeight="1" spans="2:7">
      <c r="B114" s="28">
        <v>208</v>
      </c>
      <c r="C114" s="29" t="s">
        <v>194</v>
      </c>
      <c r="D114" s="28" t="s">
        <v>186</v>
      </c>
      <c r="E114" s="30" t="s">
        <v>12</v>
      </c>
      <c r="F114" s="29"/>
      <c r="G114" s="31"/>
    </row>
    <row r="115" customHeight="1" spans="2:7">
      <c r="B115" s="28">
        <v>209</v>
      </c>
      <c r="C115" s="29" t="s">
        <v>195</v>
      </c>
      <c r="D115" s="28" t="s">
        <v>186</v>
      </c>
      <c r="E115" s="30" t="s">
        <v>12</v>
      </c>
      <c r="F115" s="29"/>
      <c r="G115" s="31"/>
    </row>
    <row r="116" customHeight="1" spans="2:7">
      <c r="B116" s="28">
        <v>210</v>
      </c>
      <c r="C116" s="29" t="s">
        <v>196</v>
      </c>
      <c r="D116" s="28" t="s">
        <v>186</v>
      </c>
      <c r="E116" s="30" t="s">
        <v>189</v>
      </c>
      <c r="F116" s="29"/>
      <c r="G116" s="31"/>
    </row>
    <row r="117" customHeight="1" spans="2:7">
      <c r="B117" s="28">
        <v>211</v>
      </c>
      <c r="C117" s="29" t="s">
        <v>197</v>
      </c>
      <c r="D117" s="28" t="s">
        <v>186</v>
      </c>
      <c r="E117" s="30" t="s">
        <v>12</v>
      </c>
      <c r="F117" s="29"/>
      <c r="G117" s="31"/>
    </row>
    <row r="118" customHeight="1" spans="2:7">
      <c r="B118" s="28">
        <v>212</v>
      </c>
      <c r="C118" s="29" t="s">
        <v>198</v>
      </c>
      <c r="D118" s="28" t="s">
        <v>186</v>
      </c>
      <c r="E118" s="30" t="s">
        <v>58</v>
      </c>
      <c r="F118" s="29"/>
      <c r="G118" s="31"/>
    </row>
    <row r="119" customHeight="1" spans="2:7">
      <c r="B119" s="28">
        <v>213</v>
      </c>
      <c r="C119" s="29" t="s">
        <v>199</v>
      </c>
      <c r="D119" s="28" t="s">
        <v>186</v>
      </c>
      <c r="E119" s="30" t="s">
        <v>200</v>
      </c>
      <c r="F119" s="29"/>
      <c r="G119" s="31"/>
    </row>
    <row r="120" customHeight="1" spans="2:7">
      <c r="B120" s="28">
        <v>214</v>
      </c>
      <c r="C120" s="29" t="s">
        <v>201</v>
      </c>
      <c r="D120" s="28" t="s">
        <v>186</v>
      </c>
      <c r="E120" s="30" t="s">
        <v>158</v>
      </c>
      <c r="F120" s="29"/>
      <c r="G120" s="31"/>
    </row>
    <row r="121" customHeight="1" spans="2:7">
      <c r="B121" s="28">
        <v>215</v>
      </c>
      <c r="C121" s="29" t="s">
        <v>202</v>
      </c>
      <c r="D121" s="28" t="s">
        <v>186</v>
      </c>
      <c r="E121" s="30" t="s">
        <v>203</v>
      </c>
      <c r="F121" s="29"/>
      <c r="G121" s="31"/>
    </row>
    <row r="122" customHeight="1" spans="2:7">
      <c r="B122" s="28">
        <v>216</v>
      </c>
      <c r="C122" s="29" t="s">
        <v>204</v>
      </c>
      <c r="D122" s="28" t="s">
        <v>186</v>
      </c>
      <c r="E122" s="30" t="s">
        <v>12</v>
      </c>
      <c r="F122" s="29"/>
      <c r="G122" s="31"/>
    </row>
    <row r="123" customHeight="1" spans="2:7">
      <c r="B123" s="28">
        <v>217</v>
      </c>
      <c r="C123" s="29" t="s">
        <v>205</v>
      </c>
      <c r="D123" s="28" t="s">
        <v>186</v>
      </c>
      <c r="E123" s="30" t="s">
        <v>12</v>
      </c>
      <c r="F123" s="29"/>
      <c r="G123" s="31"/>
    </row>
    <row r="124" customHeight="1" spans="2:7">
      <c r="B124" s="28">
        <v>218</v>
      </c>
      <c r="C124" s="29" t="s">
        <v>206</v>
      </c>
      <c r="D124" s="28" t="s">
        <v>186</v>
      </c>
      <c r="E124" s="30" t="s">
        <v>200</v>
      </c>
      <c r="F124" s="29"/>
      <c r="G124" s="31"/>
    </row>
    <row r="125" customHeight="1" spans="2:7">
      <c r="B125" s="28">
        <v>219</v>
      </c>
      <c r="C125" s="29" t="s">
        <v>207</v>
      </c>
      <c r="D125" s="28" t="s">
        <v>186</v>
      </c>
      <c r="E125" s="30" t="s">
        <v>12</v>
      </c>
      <c r="F125" s="29"/>
      <c r="G125" s="31"/>
    </row>
    <row r="126" customHeight="1" spans="2:7">
      <c r="B126" s="28">
        <v>220</v>
      </c>
      <c r="C126" s="29" t="s">
        <v>208</v>
      </c>
      <c r="D126" s="28" t="s">
        <v>186</v>
      </c>
      <c r="E126" s="30" t="s">
        <v>12</v>
      </c>
      <c r="F126" s="29"/>
      <c r="G126" s="31"/>
    </row>
    <row r="127" customHeight="1" spans="2:7">
      <c r="B127" s="28">
        <v>221</v>
      </c>
      <c r="C127" s="29" t="s">
        <v>209</v>
      </c>
      <c r="D127" s="28" t="s">
        <v>186</v>
      </c>
      <c r="E127" s="14">
        <v>500</v>
      </c>
      <c r="F127" s="29"/>
      <c r="G127" s="31"/>
    </row>
    <row r="128" customHeight="1" spans="2:7">
      <c r="B128" s="28">
        <v>222</v>
      </c>
      <c r="C128" s="29" t="s">
        <v>210</v>
      </c>
      <c r="D128" s="28" t="s">
        <v>186</v>
      </c>
      <c r="E128" s="30" t="s">
        <v>12</v>
      </c>
      <c r="F128" s="29"/>
      <c r="G128" s="31"/>
    </row>
    <row r="129" customHeight="1" spans="2:7">
      <c r="B129" s="28">
        <v>223</v>
      </c>
      <c r="C129" s="29" t="s">
        <v>211</v>
      </c>
      <c r="D129" s="28" t="s">
        <v>186</v>
      </c>
      <c r="E129" s="30">
        <v>800</v>
      </c>
      <c r="F129" s="29"/>
      <c r="G129" s="31"/>
    </row>
    <row r="130" customHeight="1" spans="2:7">
      <c r="B130" s="28">
        <v>224</v>
      </c>
      <c r="C130" s="29" t="s">
        <v>212</v>
      </c>
      <c r="D130" s="28" t="s">
        <v>186</v>
      </c>
      <c r="E130" s="30">
        <v>650</v>
      </c>
      <c r="F130" s="29"/>
      <c r="G130" s="31"/>
    </row>
    <row r="131" customHeight="1" spans="2:7">
      <c r="B131" s="28">
        <v>225</v>
      </c>
      <c r="C131" s="29" t="s">
        <v>213</v>
      </c>
      <c r="D131" s="28" t="s">
        <v>186</v>
      </c>
      <c r="E131" s="30" t="s">
        <v>12</v>
      </c>
      <c r="F131" s="29"/>
      <c r="G131" s="31"/>
    </row>
    <row r="132" customHeight="1" spans="2:7">
      <c r="B132" s="28">
        <v>226</v>
      </c>
      <c r="C132" s="29" t="s">
        <v>214</v>
      </c>
      <c r="D132" s="28" t="s">
        <v>186</v>
      </c>
      <c r="E132" s="30" t="s">
        <v>12</v>
      </c>
      <c r="F132" s="29"/>
      <c r="G132" s="31"/>
    </row>
    <row r="133" customHeight="1" spans="2:7">
      <c r="B133" s="28">
        <v>227</v>
      </c>
      <c r="C133" s="29" t="s">
        <v>215</v>
      </c>
      <c r="D133" s="28" t="s">
        <v>186</v>
      </c>
      <c r="E133" s="30" t="s">
        <v>12</v>
      </c>
      <c r="F133" s="29"/>
      <c r="G133" s="31"/>
    </row>
    <row r="134" customHeight="1" spans="2:7">
      <c r="B134" s="28">
        <v>228</v>
      </c>
      <c r="C134" s="29" t="s">
        <v>216</v>
      </c>
      <c r="D134" s="28" t="s">
        <v>186</v>
      </c>
      <c r="E134" s="30" t="s">
        <v>12</v>
      </c>
      <c r="F134" s="29"/>
      <c r="G134" s="31"/>
    </row>
    <row r="135" customHeight="1" spans="2:7">
      <c r="B135" s="28">
        <v>229</v>
      </c>
      <c r="C135" s="29" t="s">
        <v>217</v>
      </c>
      <c r="D135" s="28" t="s">
        <v>186</v>
      </c>
      <c r="E135" s="30" t="s">
        <v>12</v>
      </c>
      <c r="F135" s="29"/>
      <c r="G135" s="31"/>
    </row>
    <row r="136" customHeight="1" spans="2:7">
      <c r="B136" s="28">
        <v>230</v>
      </c>
      <c r="C136" s="29" t="s">
        <v>218</v>
      </c>
      <c r="D136" s="28" t="s">
        <v>186</v>
      </c>
      <c r="E136" s="30" t="s">
        <v>158</v>
      </c>
      <c r="F136" s="29"/>
      <c r="G136" s="31"/>
    </row>
    <row r="137" customHeight="1" spans="2:7">
      <c r="B137" s="28">
        <v>231</v>
      </c>
      <c r="C137" s="29" t="s">
        <v>219</v>
      </c>
      <c r="D137" s="28" t="s">
        <v>186</v>
      </c>
      <c r="E137" s="30">
        <v>100</v>
      </c>
      <c r="F137" s="29"/>
      <c r="G137" s="31"/>
    </row>
    <row r="138" customHeight="1" spans="2:7">
      <c r="B138" s="28">
        <v>232</v>
      </c>
      <c r="C138" s="29" t="s">
        <v>220</v>
      </c>
      <c r="D138" s="28" t="s">
        <v>186</v>
      </c>
      <c r="E138" s="14">
        <v>400</v>
      </c>
      <c r="F138" s="29"/>
      <c r="G138" s="31"/>
    </row>
    <row r="139" customHeight="1" spans="2:7">
      <c r="B139" s="28">
        <v>233</v>
      </c>
      <c r="C139" s="29" t="s">
        <v>221</v>
      </c>
      <c r="D139" s="28" t="s">
        <v>222</v>
      </c>
      <c r="E139" s="30">
        <v>650</v>
      </c>
      <c r="F139" s="29"/>
      <c r="G139" s="31"/>
    </row>
    <row r="140" customHeight="1" spans="2:7">
      <c r="B140" s="28">
        <v>234</v>
      </c>
      <c r="C140" s="29" t="s">
        <v>223</v>
      </c>
      <c r="D140" s="28" t="s">
        <v>222</v>
      </c>
      <c r="E140" s="30" t="s">
        <v>12</v>
      </c>
      <c r="F140" s="29"/>
      <c r="G140" s="31"/>
    </row>
    <row r="141" customHeight="1" spans="2:7">
      <c r="B141" s="28">
        <v>235</v>
      </c>
      <c r="C141" s="29" t="s">
        <v>224</v>
      </c>
      <c r="D141" s="28" t="s">
        <v>222</v>
      </c>
      <c r="E141" s="30" t="s">
        <v>225</v>
      </c>
      <c r="F141" s="29"/>
      <c r="G141" s="31"/>
    </row>
    <row r="142" customHeight="1" spans="2:7">
      <c r="B142" s="28">
        <v>236</v>
      </c>
      <c r="C142" s="29" t="s">
        <v>226</v>
      </c>
      <c r="D142" s="28" t="s">
        <v>222</v>
      </c>
      <c r="E142" s="30">
        <v>200</v>
      </c>
      <c r="F142" s="29"/>
      <c r="G142" s="31"/>
    </row>
    <row r="143" customHeight="1" spans="2:7">
      <c r="B143" s="28">
        <v>237</v>
      </c>
      <c r="C143" s="29" t="s">
        <v>227</v>
      </c>
      <c r="D143" s="28" t="s">
        <v>222</v>
      </c>
      <c r="E143" s="30">
        <v>650</v>
      </c>
      <c r="F143" s="29"/>
      <c r="G143" s="31"/>
    </row>
    <row r="144" customHeight="1" spans="2:7">
      <c r="B144" s="28">
        <v>238</v>
      </c>
      <c r="C144" s="29" t="s">
        <v>228</v>
      </c>
      <c r="D144" s="28" t="s">
        <v>222</v>
      </c>
      <c r="E144" s="30" t="s">
        <v>12</v>
      </c>
      <c r="F144" s="29"/>
      <c r="G144" s="31"/>
    </row>
    <row r="145" customHeight="1" spans="2:7">
      <c r="B145" s="28">
        <v>239</v>
      </c>
      <c r="C145" s="29" t="s">
        <v>229</v>
      </c>
      <c r="D145" s="28" t="s">
        <v>222</v>
      </c>
      <c r="E145" s="30" t="s">
        <v>230</v>
      </c>
      <c r="F145" s="29"/>
      <c r="G145" s="31"/>
    </row>
    <row r="146" customHeight="1" spans="2:7">
      <c r="B146" s="28"/>
      <c r="C146" s="29" t="s">
        <v>231</v>
      </c>
      <c r="D146" s="28" t="s">
        <v>222</v>
      </c>
      <c r="E146" s="30" t="s">
        <v>21</v>
      </c>
      <c r="F146" s="29"/>
      <c r="G146" s="31"/>
    </row>
    <row r="147" customHeight="1" spans="2:7">
      <c r="B147" s="28"/>
      <c r="C147" s="29" t="s">
        <v>232</v>
      </c>
      <c r="D147" s="28" t="s">
        <v>222</v>
      </c>
      <c r="E147" s="30" t="s">
        <v>12</v>
      </c>
      <c r="F147" s="29"/>
      <c r="G147" s="31"/>
    </row>
    <row r="148" customHeight="1" spans="2:7">
      <c r="B148" s="28"/>
      <c r="C148" s="29" t="s">
        <v>233</v>
      </c>
      <c r="D148" s="28" t="s">
        <v>222</v>
      </c>
      <c r="E148" s="30">
        <v>400</v>
      </c>
      <c r="F148" s="29"/>
      <c r="G148" s="31"/>
    </row>
    <row r="149" customHeight="1" spans="2:7">
      <c r="B149" s="28"/>
      <c r="C149" s="29" t="s">
        <v>234</v>
      </c>
      <c r="D149" s="28" t="s">
        <v>222</v>
      </c>
      <c r="E149" s="30" t="s">
        <v>12</v>
      </c>
      <c r="F149" s="29"/>
      <c r="G149" s="31"/>
    </row>
    <row r="150" customHeight="1" spans="2:7">
      <c r="B150" s="28"/>
      <c r="C150" s="29" t="s">
        <v>235</v>
      </c>
      <c r="D150" s="28" t="s">
        <v>222</v>
      </c>
      <c r="E150" s="30" t="s">
        <v>236</v>
      </c>
      <c r="F150" s="29"/>
      <c r="G150" s="31"/>
    </row>
    <row r="151" customHeight="1" spans="2:7">
      <c r="B151" s="28"/>
      <c r="C151" s="29" t="s">
        <v>237</v>
      </c>
      <c r="D151" s="28" t="s">
        <v>222</v>
      </c>
      <c r="E151" s="30" t="s">
        <v>27</v>
      </c>
      <c r="F151" s="29"/>
      <c r="G151" s="31"/>
    </row>
    <row r="152" customHeight="1" spans="2:7">
      <c r="B152" s="28"/>
      <c r="C152" s="29" t="s">
        <v>238</v>
      </c>
      <c r="D152" s="28" t="s">
        <v>222</v>
      </c>
      <c r="E152" s="14">
        <v>3200</v>
      </c>
      <c r="F152" s="29"/>
      <c r="G152" s="31"/>
    </row>
    <row r="153" customHeight="1" spans="2:7">
      <c r="B153" s="28"/>
      <c r="C153" s="29" t="s">
        <v>239</v>
      </c>
      <c r="D153" s="28" t="s">
        <v>222</v>
      </c>
      <c r="E153" s="30" t="s">
        <v>12</v>
      </c>
      <c r="F153" s="29"/>
      <c r="G153" s="31"/>
    </row>
    <row r="154" customHeight="1" spans="2:7">
      <c r="B154" s="28"/>
      <c r="C154" s="29" t="s">
        <v>240</v>
      </c>
      <c r="D154" s="28" t="s">
        <v>222</v>
      </c>
      <c r="E154" s="30">
        <v>100</v>
      </c>
      <c r="F154" s="29"/>
      <c r="G154" s="31"/>
    </row>
    <row r="155" customHeight="1" spans="2:7">
      <c r="B155" s="28"/>
      <c r="C155" s="29" t="s">
        <v>241</v>
      </c>
      <c r="D155" s="28" t="s">
        <v>222</v>
      </c>
      <c r="E155" s="30">
        <v>900</v>
      </c>
      <c r="F155" s="29"/>
      <c r="G155" s="31"/>
    </row>
    <row r="156" customHeight="1" spans="2:7">
      <c r="B156" s="28"/>
      <c r="C156" s="29" t="s">
        <v>242</v>
      </c>
      <c r="D156" s="28" t="s">
        <v>222</v>
      </c>
      <c r="E156" s="30" t="s">
        <v>243</v>
      </c>
      <c r="F156" s="29"/>
      <c r="G156" s="31"/>
    </row>
    <row r="157" customHeight="1" spans="2:7">
      <c r="B157" s="28"/>
      <c r="C157" s="29" t="s">
        <v>244</v>
      </c>
      <c r="D157" s="28" t="s">
        <v>222</v>
      </c>
      <c r="E157" s="30" t="s">
        <v>12</v>
      </c>
      <c r="F157" s="29"/>
      <c r="G157" s="31"/>
    </row>
    <row r="158" customHeight="1" spans="2:7">
      <c r="B158" s="28"/>
      <c r="C158" s="29" t="s">
        <v>245</v>
      </c>
      <c r="D158" s="28" t="s">
        <v>222</v>
      </c>
      <c r="E158" s="30" t="s">
        <v>12</v>
      </c>
      <c r="F158" s="29"/>
      <c r="G158" s="31"/>
    </row>
    <row r="159" customHeight="1" spans="2:7">
      <c r="B159" s="28"/>
      <c r="C159" s="29" t="s">
        <v>246</v>
      </c>
      <c r="D159" s="28" t="s">
        <v>222</v>
      </c>
      <c r="E159" s="30" t="s">
        <v>98</v>
      </c>
      <c r="F159" s="29"/>
      <c r="G159" s="31"/>
    </row>
    <row r="160" customHeight="1" spans="2:7">
      <c r="B160" s="28"/>
      <c r="C160" s="29" t="s">
        <v>247</v>
      </c>
      <c r="D160" s="28" t="s">
        <v>222</v>
      </c>
      <c r="E160" s="30" t="s">
        <v>12</v>
      </c>
      <c r="F160" s="29"/>
      <c r="G160" s="31"/>
    </row>
    <row r="161" customHeight="1" spans="2:7">
      <c r="B161" s="28"/>
      <c r="C161" s="29" t="s">
        <v>248</v>
      </c>
      <c r="D161" s="28" t="s">
        <v>222</v>
      </c>
      <c r="E161" s="34" t="s">
        <v>249</v>
      </c>
      <c r="F161" s="29"/>
      <c r="G161" s="31"/>
    </row>
    <row r="162" customHeight="1" spans="2:7">
      <c r="B162" s="28"/>
      <c r="C162" s="29" t="s">
        <v>250</v>
      </c>
      <c r="D162" s="28" t="s">
        <v>222</v>
      </c>
      <c r="E162" s="35" t="s">
        <v>251</v>
      </c>
      <c r="F162" s="29"/>
      <c r="G162" s="31"/>
    </row>
    <row r="163" customHeight="1" spans="2:7">
      <c r="B163" s="28"/>
      <c r="C163" s="29" t="s">
        <v>252</v>
      </c>
      <c r="D163" s="28" t="s">
        <v>253</v>
      </c>
      <c r="E163" s="36" t="s">
        <v>189</v>
      </c>
      <c r="F163" s="29"/>
      <c r="G163" s="31"/>
    </row>
    <row r="164" customHeight="1" spans="2:7">
      <c r="B164" s="28"/>
      <c r="C164" s="29" t="s">
        <v>254</v>
      </c>
      <c r="D164" s="28" t="s">
        <v>253</v>
      </c>
      <c r="E164" s="14">
        <v>200</v>
      </c>
      <c r="F164" s="29"/>
      <c r="G164" s="31"/>
    </row>
    <row r="165" customHeight="1" spans="2:7">
      <c r="B165" s="28"/>
      <c r="C165" s="29" t="s">
        <v>255</v>
      </c>
      <c r="D165" s="28" t="s">
        <v>253</v>
      </c>
      <c r="E165" s="30" t="s">
        <v>12</v>
      </c>
      <c r="F165" s="29"/>
      <c r="G165" s="31"/>
    </row>
    <row r="166" customHeight="1" spans="2:7">
      <c r="B166" s="28"/>
      <c r="C166" s="29" t="s">
        <v>256</v>
      </c>
      <c r="D166" s="28" t="s">
        <v>253</v>
      </c>
      <c r="E166" s="35" t="s">
        <v>257</v>
      </c>
      <c r="F166" s="29"/>
      <c r="G166" s="31"/>
    </row>
    <row r="167" customHeight="1" spans="2:7">
      <c r="B167" s="28"/>
      <c r="C167" s="29" t="s">
        <v>258</v>
      </c>
      <c r="D167" s="28" t="s">
        <v>253</v>
      </c>
      <c r="E167" s="36" t="s">
        <v>98</v>
      </c>
      <c r="F167" s="29"/>
      <c r="G167" s="31"/>
    </row>
    <row r="168" customHeight="1" spans="2:7">
      <c r="B168" s="28"/>
      <c r="C168" s="29" t="s">
        <v>259</v>
      </c>
      <c r="D168" s="28" t="s">
        <v>253</v>
      </c>
      <c r="E168" s="30" t="s">
        <v>12</v>
      </c>
      <c r="F168" s="29"/>
      <c r="G168" s="31"/>
    </row>
    <row r="169" customHeight="1" spans="2:7">
      <c r="B169" s="28"/>
      <c r="C169" s="29" t="s">
        <v>260</v>
      </c>
      <c r="D169" s="28" t="s">
        <v>253</v>
      </c>
      <c r="E169" s="30" t="s">
        <v>12</v>
      </c>
      <c r="F169" s="29"/>
      <c r="G169" s="31"/>
    </row>
    <row r="170" customHeight="1" spans="2:7">
      <c r="B170" s="28"/>
      <c r="C170" s="29" t="s">
        <v>261</v>
      </c>
      <c r="D170" s="28" t="s">
        <v>253</v>
      </c>
      <c r="E170" s="34" t="s">
        <v>21</v>
      </c>
      <c r="F170" s="29"/>
      <c r="G170" s="31"/>
    </row>
    <row r="171" customHeight="1" spans="2:7">
      <c r="B171" s="28"/>
      <c r="C171" s="29" t="s">
        <v>262</v>
      </c>
      <c r="D171" s="28" t="s">
        <v>253</v>
      </c>
      <c r="E171" s="30" t="s">
        <v>12</v>
      </c>
      <c r="F171" s="29"/>
      <c r="G171" s="31"/>
    </row>
    <row r="172" customHeight="1" spans="2:7">
      <c r="B172" s="28"/>
      <c r="C172" s="29" t="s">
        <v>263</v>
      </c>
      <c r="D172" s="28" t="s">
        <v>253</v>
      </c>
      <c r="E172" s="30" t="s">
        <v>12</v>
      </c>
      <c r="F172" s="29"/>
      <c r="G172" s="31"/>
    </row>
    <row r="173" customHeight="1" spans="2:7">
      <c r="B173" s="28"/>
      <c r="C173" s="29" t="s">
        <v>264</v>
      </c>
      <c r="D173" s="28" t="s">
        <v>253</v>
      </c>
      <c r="E173" s="30" t="s">
        <v>12</v>
      </c>
      <c r="F173" s="29"/>
      <c r="G173" s="31"/>
    </row>
    <row r="174" customHeight="1" spans="2:7">
      <c r="B174" s="28"/>
      <c r="C174" s="29" t="s">
        <v>265</v>
      </c>
      <c r="D174" s="28" t="s">
        <v>253</v>
      </c>
      <c r="E174" s="30" t="s">
        <v>12</v>
      </c>
      <c r="F174" s="29"/>
      <c r="G174" s="31"/>
    </row>
    <row r="175" customHeight="1" spans="2:7">
      <c r="B175" s="28"/>
      <c r="C175" s="29" t="s">
        <v>266</v>
      </c>
      <c r="D175" s="28" t="s">
        <v>253</v>
      </c>
      <c r="E175" s="30" t="s">
        <v>21</v>
      </c>
      <c r="F175" s="29"/>
      <c r="G175" s="31"/>
    </row>
    <row r="176" customHeight="1" spans="2:7">
      <c r="B176" s="28"/>
      <c r="C176" s="29" t="s">
        <v>267</v>
      </c>
      <c r="D176" s="28" t="s">
        <v>253</v>
      </c>
      <c r="E176" s="30">
        <v>400</v>
      </c>
      <c r="F176" s="29"/>
      <c r="G176" s="31"/>
    </row>
    <row r="177" customHeight="1" spans="2:7">
      <c r="B177" s="28"/>
      <c r="C177" s="29" t="s">
        <v>268</v>
      </c>
      <c r="D177" s="28" t="s">
        <v>253</v>
      </c>
      <c r="E177" s="30" t="s">
        <v>12</v>
      </c>
      <c r="F177" s="29"/>
      <c r="G177" s="31"/>
    </row>
    <row r="178" customHeight="1" spans="2:7">
      <c r="B178" s="28"/>
      <c r="C178" s="29" t="s">
        <v>269</v>
      </c>
      <c r="D178" s="28" t="s">
        <v>253</v>
      </c>
      <c r="E178" s="30" t="s">
        <v>12</v>
      </c>
      <c r="F178" s="29"/>
      <c r="G178" s="31"/>
    </row>
    <row r="179" customHeight="1" spans="2:7">
      <c r="B179" s="28"/>
      <c r="C179" s="29" t="s">
        <v>270</v>
      </c>
      <c r="D179" s="28" t="s">
        <v>253</v>
      </c>
      <c r="E179" s="30" t="s">
        <v>12</v>
      </c>
      <c r="F179" s="29"/>
      <c r="G179" s="31"/>
    </row>
    <row r="180" customHeight="1" spans="2:7">
      <c r="B180" s="28"/>
      <c r="C180" s="29" t="s">
        <v>271</v>
      </c>
      <c r="D180" s="28" t="s">
        <v>253</v>
      </c>
      <c r="E180" s="35" t="s">
        <v>272</v>
      </c>
      <c r="F180" s="29"/>
      <c r="G180" s="31"/>
    </row>
    <row r="181" customHeight="1" spans="2:7">
      <c r="B181" s="28"/>
      <c r="C181" s="29" t="s">
        <v>273</v>
      </c>
      <c r="D181" s="28" t="s">
        <v>253</v>
      </c>
      <c r="E181" s="36" t="s">
        <v>274</v>
      </c>
      <c r="F181" s="29"/>
      <c r="G181" s="31"/>
    </row>
    <row r="182" customHeight="1" spans="2:7">
      <c r="B182" s="28"/>
      <c r="C182" s="29" t="s">
        <v>275</v>
      </c>
      <c r="D182" s="28" t="s">
        <v>253</v>
      </c>
      <c r="E182" s="35" t="s">
        <v>12</v>
      </c>
      <c r="F182" s="29"/>
      <c r="G182" s="31"/>
    </row>
    <row r="183" customHeight="1" spans="2:7">
      <c r="B183" s="28"/>
      <c r="C183" s="29" t="s">
        <v>276</v>
      </c>
      <c r="D183" s="28" t="s">
        <v>253</v>
      </c>
      <c r="E183" s="36" t="s">
        <v>189</v>
      </c>
      <c r="F183" s="29"/>
      <c r="G183" s="31"/>
    </row>
    <row r="184" customHeight="1" spans="2:7">
      <c r="B184" s="28"/>
      <c r="C184" s="29" t="s">
        <v>277</v>
      </c>
      <c r="D184" s="28" t="s">
        <v>253</v>
      </c>
      <c r="E184" s="35" t="s">
        <v>158</v>
      </c>
      <c r="F184" s="29"/>
      <c r="G184" s="31"/>
    </row>
    <row r="185" customHeight="1" spans="2:7">
      <c r="B185" s="28"/>
      <c r="C185" s="29" t="s">
        <v>278</v>
      </c>
      <c r="D185" s="28" t="s">
        <v>253</v>
      </c>
      <c r="E185" s="36" t="s">
        <v>12</v>
      </c>
      <c r="F185" s="29"/>
      <c r="G185" s="31"/>
    </row>
    <row r="186" customHeight="1" spans="2:7">
      <c r="B186" s="28"/>
      <c r="C186" s="29" t="s">
        <v>279</v>
      </c>
      <c r="D186" s="28" t="s">
        <v>253</v>
      </c>
      <c r="E186" s="35" t="s">
        <v>280</v>
      </c>
      <c r="F186" s="29"/>
      <c r="G186" s="31"/>
    </row>
    <row r="187" customHeight="1" spans="2:7">
      <c r="B187" s="28"/>
      <c r="C187" s="29" t="s">
        <v>281</v>
      </c>
      <c r="D187" s="28" t="s">
        <v>253</v>
      </c>
      <c r="E187" s="36" t="s">
        <v>282</v>
      </c>
      <c r="F187" s="29"/>
      <c r="G187" s="31"/>
    </row>
    <row r="188" customHeight="1" spans="2:7">
      <c r="B188" s="28"/>
      <c r="C188" s="29" t="s">
        <v>283</v>
      </c>
      <c r="D188" s="28" t="s">
        <v>253</v>
      </c>
      <c r="E188" s="30">
        <v>900</v>
      </c>
      <c r="F188" s="29"/>
      <c r="G188" s="31"/>
    </row>
    <row r="189" customHeight="1" spans="2:7">
      <c r="B189" s="28"/>
      <c r="C189" s="29" t="s">
        <v>284</v>
      </c>
      <c r="D189" s="28" t="s">
        <v>253</v>
      </c>
      <c r="E189" s="36" t="s">
        <v>285</v>
      </c>
      <c r="F189" s="29"/>
      <c r="G189" s="31"/>
    </row>
    <row r="190" customHeight="1" spans="2:7">
      <c r="B190" s="28"/>
      <c r="C190" s="29" t="s">
        <v>286</v>
      </c>
      <c r="D190" s="28" t="s">
        <v>253</v>
      </c>
      <c r="E190" s="35" t="s">
        <v>287</v>
      </c>
      <c r="F190" s="29"/>
      <c r="G190" s="31"/>
    </row>
    <row r="191" customHeight="1" spans="2:7">
      <c r="B191" s="28"/>
      <c r="C191" s="29" t="s">
        <v>288</v>
      </c>
      <c r="D191" s="28" t="s">
        <v>253</v>
      </c>
      <c r="E191" s="30">
        <v>300</v>
      </c>
      <c r="F191" s="29"/>
      <c r="G191" s="31"/>
    </row>
    <row r="192" customHeight="1" spans="2:7">
      <c r="B192" s="28"/>
      <c r="C192" s="29" t="s">
        <v>289</v>
      </c>
      <c r="D192" s="28" t="s">
        <v>290</v>
      </c>
      <c r="E192" s="30">
        <v>100</v>
      </c>
      <c r="F192" s="29"/>
      <c r="G192" s="31"/>
    </row>
    <row r="193" customHeight="1" spans="2:7">
      <c r="B193" s="28"/>
      <c r="C193" s="29" t="s">
        <v>291</v>
      </c>
      <c r="D193" s="28" t="s">
        <v>290</v>
      </c>
      <c r="E193" s="30" t="s">
        <v>12</v>
      </c>
      <c r="F193" s="29"/>
      <c r="G193" s="31"/>
    </row>
    <row r="194" customHeight="1" spans="2:7">
      <c r="B194" s="28"/>
      <c r="C194" s="29" t="s">
        <v>292</v>
      </c>
      <c r="D194" s="28" t="s">
        <v>290</v>
      </c>
      <c r="E194" s="30" t="s">
        <v>12</v>
      </c>
      <c r="F194" s="29"/>
      <c r="G194" s="31"/>
    </row>
    <row r="195" customHeight="1" spans="2:7">
      <c r="B195" s="28"/>
      <c r="C195" s="29" t="s">
        <v>293</v>
      </c>
      <c r="D195" s="28" t="s">
        <v>290</v>
      </c>
      <c r="E195" s="30" t="s">
        <v>12</v>
      </c>
      <c r="F195" s="29"/>
      <c r="G195" s="31"/>
    </row>
    <row r="196" customHeight="1" spans="2:7">
      <c r="B196" s="28"/>
      <c r="C196" s="29" t="s">
        <v>294</v>
      </c>
      <c r="D196" s="28" t="s">
        <v>290</v>
      </c>
      <c r="E196" s="30">
        <v>500</v>
      </c>
      <c r="F196" s="29"/>
      <c r="G196" s="31"/>
    </row>
    <row r="197" customHeight="1" spans="2:7">
      <c r="B197" s="28"/>
      <c r="C197" s="29" t="s">
        <v>295</v>
      </c>
      <c r="D197" s="28" t="s">
        <v>290</v>
      </c>
      <c r="E197" s="30">
        <v>650</v>
      </c>
      <c r="F197" s="29"/>
      <c r="G197" s="31"/>
    </row>
    <row r="198" customHeight="1" spans="2:7">
      <c r="B198" s="28"/>
      <c r="C198" s="29" t="s">
        <v>296</v>
      </c>
      <c r="D198" s="28" t="s">
        <v>290</v>
      </c>
      <c r="E198" s="30" t="s">
        <v>12</v>
      </c>
      <c r="F198" s="29"/>
      <c r="G198" s="31"/>
    </row>
    <row r="199" customHeight="1" spans="2:7">
      <c r="B199" s="28"/>
      <c r="C199" s="29" t="s">
        <v>297</v>
      </c>
      <c r="D199" s="28" t="s">
        <v>290</v>
      </c>
      <c r="E199" s="36" t="s">
        <v>298</v>
      </c>
      <c r="F199" s="29"/>
      <c r="G199" s="31"/>
    </row>
    <row r="200" customHeight="1" spans="2:7">
      <c r="B200" s="28"/>
      <c r="C200" s="29" t="s">
        <v>299</v>
      </c>
      <c r="D200" s="28" t="s">
        <v>290</v>
      </c>
      <c r="E200" s="35" t="s">
        <v>58</v>
      </c>
      <c r="F200" s="29"/>
      <c r="G200" s="31"/>
    </row>
    <row r="201" customHeight="1" spans="2:7">
      <c r="B201" s="28"/>
      <c r="C201" s="29" t="s">
        <v>300</v>
      </c>
      <c r="D201" s="28" t="s">
        <v>290</v>
      </c>
      <c r="E201" s="30" t="s">
        <v>12</v>
      </c>
      <c r="F201" s="29"/>
      <c r="G201" s="31"/>
    </row>
    <row r="202" customHeight="1" spans="2:7">
      <c r="B202" s="28"/>
      <c r="C202" s="29" t="s">
        <v>301</v>
      </c>
      <c r="D202" s="28" t="s">
        <v>290</v>
      </c>
      <c r="E202" s="30" t="s">
        <v>12</v>
      </c>
      <c r="F202" s="29"/>
      <c r="G202" s="31"/>
    </row>
    <row r="203" customHeight="1" spans="2:7">
      <c r="B203" s="28"/>
      <c r="C203" s="29" t="s">
        <v>302</v>
      </c>
      <c r="D203" s="28" t="s">
        <v>290</v>
      </c>
      <c r="E203" s="30" t="s">
        <v>12</v>
      </c>
      <c r="F203" s="29"/>
      <c r="G203" s="31"/>
    </row>
    <row r="204" customHeight="1" spans="2:7">
      <c r="B204" s="28"/>
      <c r="C204" s="29" t="s">
        <v>303</v>
      </c>
      <c r="D204" s="28" t="s">
        <v>290</v>
      </c>
      <c r="E204" s="30" t="s">
        <v>12</v>
      </c>
      <c r="F204" s="29"/>
      <c r="G204" s="31"/>
    </row>
    <row r="205" customHeight="1" spans="2:7">
      <c r="B205" s="28"/>
      <c r="C205" s="29" t="s">
        <v>304</v>
      </c>
      <c r="D205" s="28" t="s">
        <v>290</v>
      </c>
      <c r="E205" s="30" t="s">
        <v>200</v>
      </c>
      <c r="F205" s="29"/>
      <c r="G205" s="31"/>
    </row>
    <row r="206" customHeight="1" spans="2:7">
      <c r="B206" s="28"/>
      <c r="C206" s="29" t="s">
        <v>305</v>
      </c>
      <c r="D206" s="28" t="s">
        <v>290</v>
      </c>
      <c r="E206" s="30" t="s">
        <v>12</v>
      </c>
      <c r="F206" s="29"/>
      <c r="G206" s="31"/>
    </row>
    <row r="207" customHeight="1" spans="2:7">
      <c r="B207" s="28"/>
      <c r="C207" s="29" t="s">
        <v>306</v>
      </c>
      <c r="D207" s="28" t="s">
        <v>290</v>
      </c>
      <c r="E207" s="30" t="s">
        <v>12</v>
      </c>
      <c r="F207" s="29"/>
      <c r="G207" s="31"/>
    </row>
    <row r="208" customHeight="1" spans="2:7">
      <c r="B208" s="28"/>
      <c r="C208" s="29" t="s">
        <v>307</v>
      </c>
      <c r="D208" s="28" t="s">
        <v>290</v>
      </c>
      <c r="E208" s="35" t="s">
        <v>158</v>
      </c>
      <c r="F208" s="29"/>
      <c r="G208" s="31"/>
    </row>
    <row r="209" customHeight="1" spans="2:7">
      <c r="B209" s="28"/>
      <c r="C209" s="29" t="s">
        <v>308</v>
      </c>
      <c r="D209" s="28" t="s">
        <v>290</v>
      </c>
      <c r="E209" s="36" t="s">
        <v>309</v>
      </c>
      <c r="F209" s="29"/>
      <c r="G209" s="31"/>
    </row>
    <row r="210" customHeight="1" spans="2:7">
      <c r="B210" s="28"/>
      <c r="C210" s="29" t="s">
        <v>310</v>
      </c>
      <c r="D210" s="28" t="s">
        <v>290</v>
      </c>
      <c r="E210" s="35" t="s">
        <v>311</v>
      </c>
      <c r="F210" s="29"/>
      <c r="G210" s="31"/>
    </row>
    <row r="211" customHeight="1" spans="2:7">
      <c r="B211" s="28"/>
      <c r="C211" s="29" t="s">
        <v>312</v>
      </c>
      <c r="D211" s="28" t="s">
        <v>290</v>
      </c>
      <c r="E211" s="36" t="s">
        <v>12</v>
      </c>
      <c r="F211" s="29"/>
      <c r="G211" s="31"/>
    </row>
    <row r="212" customHeight="1" spans="2:7">
      <c r="B212" s="28"/>
      <c r="C212" s="29" t="s">
        <v>313</v>
      </c>
      <c r="D212" s="28" t="s">
        <v>290</v>
      </c>
      <c r="E212" s="35" t="s">
        <v>272</v>
      </c>
      <c r="F212" s="29"/>
      <c r="G212" s="31"/>
    </row>
    <row r="213" customHeight="1" spans="2:7">
      <c r="B213" s="28"/>
      <c r="C213" s="29" t="s">
        <v>314</v>
      </c>
      <c r="D213" s="28" t="s">
        <v>290</v>
      </c>
      <c r="E213" s="36" t="s">
        <v>12</v>
      </c>
      <c r="F213" s="29"/>
      <c r="G213" s="31"/>
    </row>
    <row r="214" customHeight="1" spans="2:7">
      <c r="B214" s="28"/>
      <c r="C214" s="29" t="s">
        <v>315</v>
      </c>
      <c r="D214" s="28" t="s">
        <v>290</v>
      </c>
      <c r="E214" s="35" t="s">
        <v>165</v>
      </c>
      <c r="F214" s="29"/>
      <c r="G214" s="31"/>
    </row>
    <row r="215" customHeight="1" spans="2:7">
      <c r="B215" s="28"/>
      <c r="C215" s="29" t="s">
        <v>316</v>
      </c>
      <c r="D215" s="28" t="s">
        <v>290</v>
      </c>
      <c r="E215" s="36" t="s">
        <v>65</v>
      </c>
      <c r="F215" s="29"/>
      <c r="G215" s="31"/>
    </row>
    <row r="216" customHeight="1" spans="2:7">
      <c r="B216" s="28"/>
      <c r="C216" s="29" t="s">
        <v>317</v>
      </c>
      <c r="D216" s="28" t="s">
        <v>290</v>
      </c>
      <c r="E216" s="35" t="s">
        <v>165</v>
      </c>
      <c r="F216" s="29"/>
      <c r="G216" s="31"/>
    </row>
    <row r="217" customHeight="1" spans="2:7">
      <c r="B217" s="28"/>
      <c r="C217" s="29" t="s">
        <v>318</v>
      </c>
      <c r="D217" s="28" t="s">
        <v>290</v>
      </c>
      <c r="E217" s="36" t="s">
        <v>319</v>
      </c>
      <c r="F217" s="29"/>
      <c r="G217" s="31"/>
    </row>
    <row r="218" customHeight="1" spans="2:7">
      <c r="B218" s="28"/>
      <c r="C218" s="29" t="s">
        <v>320</v>
      </c>
      <c r="D218" s="28" t="s">
        <v>290</v>
      </c>
      <c r="E218" s="30" t="s">
        <v>12</v>
      </c>
      <c r="F218" s="29"/>
      <c r="G218" s="31"/>
    </row>
    <row r="219" customHeight="1" spans="2:7">
      <c r="B219" s="28"/>
      <c r="C219" s="29" t="s">
        <v>321</v>
      </c>
      <c r="D219" s="28" t="s">
        <v>290</v>
      </c>
      <c r="E219" s="36" t="s">
        <v>27</v>
      </c>
      <c r="F219" s="29"/>
      <c r="G219" s="31"/>
    </row>
    <row r="220" customHeight="1" spans="2:7">
      <c r="B220" s="28"/>
      <c r="C220" s="29" t="s">
        <v>322</v>
      </c>
      <c r="D220" s="28" t="s">
        <v>323</v>
      </c>
      <c r="E220" s="35" t="s">
        <v>324</v>
      </c>
      <c r="F220" s="29"/>
      <c r="G220" s="31"/>
    </row>
    <row r="221" customHeight="1" spans="2:7">
      <c r="B221" s="28"/>
      <c r="C221" s="29" t="s">
        <v>325</v>
      </c>
      <c r="D221" s="28" t="s">
        <v>323</v>
      </c>
      <c r="E221" s="36" t="s">
        <v>326</v>
      </c>
      <c r="F221" s="29"/>
      <c r="G221" s="31"/>
    </row>
    <row r="222" customHeight="1" spans="2:7">
      <c r="B222" s="28"/>
      <c r="C222" s="29" t="s">
        <v>327</v>
      </c>
      <c r="D222" s="28" t="s">
        <v>323</v>
      </c>
      <c r="E222" s="35" t="s">
        <v>328</v>
      </c>
      <c r="F222" s="29"/>
      <c r="G222" s="31"/>
    </row>
    <row r="223" customHeight="1" spans="2:7">
      <c r="B223" s="28"/>
      <c r="C223" s="29" t="s">
        <v>329</v>
      </c>
      <c r="D223" s="28" t="s">
        <v>323</v>
      </c>
      <c r="E223" s="36" t="s">
        <v>12</v>
      </c>
      <c r="F223" s="29"/>
      <c r="G223" s="31"/>
    </row>
    <row r="224" customHeight="1" spans="2:7">
      <c r="B224" s="28"/>
      <c r="C224" s="29" t="s">
        <v>330</v>
      </c>
      <c r="D224" s="28" t="s">
        <v>323</v>
      </c>
      <c r="E224" s="35" t="s">
        <v>12</v>
      </c>
      <c r="F224" s="29"/>
      <c r="G224" s="31"/>
    </row>
    <row r="225" customHeight="1" spans="2:7">
      <c r="B225" s="28"/>
      <c r="C225" s="29" t="s">
        <v>331</v>
      </c>
      <c r="D225" s="28" t="s">
        <v>323</v>
      </c>
      <c r="E225" s="36" t="s">
        <v>65</v>
      </c>
      <c r="F225" s="29"/>
      <c r="G225" s="31"/>
    </row>
    <row r="226" customHeight="1" spans="2:7">
      <c r="B226" s="28"/>
      <c r="C226" s="29" t="s">
        <v>332</v>
      </c>
      <c r="D226" s="28" t="s">
        <v>323</v>
      </c>
      <c r="E226" s="35" t="s">
        <v>12</v>
      </c>
      <c r="F226" s="29"/>
      <c r="G226" s="31"/>
    </row>
    <row r="227" customHeight="1" spans="2:7">
      <c r="B227" s="28"/>
      <c r="C227" s="29" t="s">
        <v>333</v>
      </c>
      <c r="D227" s="28" t="s">
        <v>323</v>
      </c>
      <c r="E227" s="36" t="s">
        <v>47</v>
      </c>
      <c r="F227" s="29"/>
      <c r="G227" s="31"/>
    </row>
    <row r="228" customHeight="1" spans="2:7">
      <c r="B228" s="28"/>
      <c r="C228" s="29" t="s">
        <v>334</v>
      </c>
      <c r="D228" s="28" t="s">
        <v>323</v>
      </c>
      <c r="E228" s="14" t="s">
        <v>12</v>
      </c>
      <c r="F228" s="29"/>
      <c r="G228" s="31"/>
    </row>
    <row r="229" customHeight="1" spans="2:7">
      <c r="B229" s="28"/>
      <c r="C229" s="29" t="s">
        <v>335</v>
      </c>
      <c r="D229" s="28" t="s">
        <v>323</v>
      </c>
      <c r="E229" s="30" t="s">
        <v>12</v>
      </c>
      <c r="F229" s="29"/>
      <c r="G229" s="31"/>
    </row>
    <row r="230" customHeight="1" spans="2:7">
      <c r="B230" s="28"/>
      <c r="C230" s="29" t="s">
        <v>336</v>
      </c>
      <c r="D230" s="28" t="s">
        <v>323</v>
      </c>
      <c r="E230" s="30" t="s">
        <v>12</v>
      </c>
      <c r="F230" s="29"/>
      <c r="G230" s="31"/>
    </row>
    <row r="231" customHeight="1" spans="2:7">
      <c r="B231" s="28"/>
      <c r="C231" s="29" t="s">
        <v>337</v>
      </c>
      <c r="D231" s="28" t="s">
        <v>323</v>
      </c>
      <c r="E231" s="30" t="s">
        <v>12</v>
      </c>
      <c r="F231" s="29"/>
      <c r="G231" s="31"/>
    </row>
    <row r="232" customHeight="1" spans="2:7">
      <c r="B232" s="28"/>
      <c r="C232" s="29" t="s">
        <v>338</v>
      </c>
      <c r="D232" s="28" t="s">
        <v>323</v>
      </c>
      <c r="E232" s="30">
        <v>400</v>
      </c>
      <c r="F232" s="29"/>
      <c r="G232" s="31"/>
    </row>
    <row r="233" customHeight="1" spans="2:7">
      <c r="B233" s="28"/>
      <c r="C233" s="29" t="s">
        <v>339</v>
      </c>
      <c r="D233" s="28" t="s">
        <v>323</v>
      </c>
      <c r="E233" s="30" t="s">
        <v>12</v>
      </c>
      <c r="F233" s="29"/>
      <c r="G233" s="31"/>
    </row>
    <row r="234" customHeight="1" spans="2:7">
      <c r="B234" s="28"/>
      <c r="C234" s="29" t="s">
        <v>340</v>
      </c>
      <c r="D234" s="28" t="s">
        <v>323</v>
      </c>
      <c r="E234" s="30" t="s">
        <v>12</v>
      </c>
      <c r="F234" s="29"/>
      <c r="G234" s="31"/>
    </row>
    <row r="235" customHeight="1" spans="2:7">
      <c r="B235" s="28"/>
      <c r="C235" s="29" t="s">
        <v>341</v>
      </c>
      <c r="D235" s="28" t="s">
        <v>323</v>
      </c>
      <c r="E235" s="36" t="s">
        <v>21</v>
      </c>
      <c r="F235" s="29"/>
      <c r="G235" s="31"/>
    </row>
    <row r="236" customHeight="1" spans="2:7">
      <c r="B236" s="28"/>
      <c r="C236" s="29" t="s">
        <v>342</v>
      </c>
      <c r="D236" s="28" t="s">
        <v>323</v>
      </c>
      <c r="E236" s="35" t="s">
        <v>12</v>
      </c>
      <c r="F236" s="29"/>
      <c r="G236" s="31"/>
    </row>
    <row r="237" customHeight="1" spans="2:7">
      <c r="B237" s="28"/>
      <c r="C237" s="29" t="s">
        <v>343</v>
      </c>
      <c r="D237" s="28" t="s">
        <v>323</v>
      </c>
      <c r="E237" s="36" t="s">
        <v>12</v>
      </c>
      <c r="F237" s="29"/>
      <c r="G237" s="31"/>
    </row>
    <row r="238" customHeight="1" spans="2:7">
      <c r="B238" s="28"/>
      <c r="C238" s="29" t="s">
        <v>344</v>
      </c>
      <c r="D238" s="28" t="s">
        <v>323</v>
      </c>
      <c r="E238" s="35" t="s">
        <v>243</v>
      </c>
      <c r="F238" s="29"/>
      <c r="G238" s="31"/>
    </row>
    <row r="239" customHeight="1" spans="2:7">
      <c r="B239" s="28"/>
      <c r="C239" s="29" t="s">
        <v>345</v>
      </c>
      <c r="D239" s="28" t="s">
        <v>323</v>
      </c>
      <c r="E239" s="36" t="s">
        <v>12</v>
      </c>
      <c r="F239" s="29"/>
      <c r="G239" s="31"/>
    </row>
    <row r="240" customHeight="1" spans="2:7">
      <c r="B240" s="28"/>
      <c r="C240" s="29" t="s">
        <v>346</v>
      </c>
      <c r="D240" s="28" t="s">
        <v>323</v>
      </c>
      <c r="E240" s="35" t="s">
        <v>130</v>
      </c>
      <c r="F240" s="29"/>
      <c r="G240" s="31"/>
    </row>
    <row r="241" customHeight="1" spans="2:7">
      <c r="B241" s="28"/>
      <c r="C241" s="29" t="s">
        <v>347</v>
      </c>
      <c r="D241" s="28" t="s">
        <v>323</v>
      </c>
      <c r="E241" s="36" t="s">
        <v>12</v>
      </c>
      <c r="F241" s="29"/>
      <c r="G241" s="31"/>
    </row>
    <row r="242" customHeight="1" spans="2:7">
      <c r="B242" s="28"/>
      <c r="C242" s="29" t="s">
        <v>348</v>
      </c>
      <c r="D242" s="28" t="s">
        <v>323</v>
      </c>
      <c r="E242" s="35" t="s">
        <v>49</v>
      </c>
      <c r="F242" s="29"/>
      <c r="G242" s="31"/>
    </row>
    <row r="243" customHeight="1" spans="2:7">
      <c r="B243" s="28"/>
      <c r="C243" s="29" t="s">
        <v>349</v>
      </c>
      <c r="D243" s="28" t="s">
        <v>323</v>
      </c>
      <c r="E243" s="36" t="s">
        <v>189</v>
      </c>
      <c r="F243" s="29"/>
      <c r="G243" s="31"/>
    </row>
    <row r="244" customHeight="1" spans="2:7">
      <c r="B244" s="28"/>
      <c r="C244" s="29" t="s">
        <v>350</v>
      </c>
      <c r="D244" s="28" t="s">
        <v>323</v>
      </c>
      <c r="E244" s="35" t="s">
        <v>158</v>
      </c>
      <c r="F244" s="29"/>
      <c r="G244" s="31"/>
    </row>
    <row r="245" customHeight="1" spans="2:7">
      <c r="B245" s="28"/>
      <c r="C245" s="29" t="s">
        <v>351</v>
      </c>
      <c r="D245" s="28" t="s">
        <v>323</v>
      </c>
      <c r="E245" s="36" t="s">
        <v>287</v>
      </c>
      <c r="F245" s="29"/>
      <c r="G245" s="31"/>
    </row>
    <row r="246" customHeight="1" spans="2:7">
      <c r="B246" s="28"/>
      <c r="C246" s="29" t="s">
        <v>352</v>
      </c>
      <c r="D246" s="28" t="s">
        <v>323</v>
      </c>
      <c r="E246" s="30" t="s">
        <v>12</v>
      </c>
      <c r="F246" s="29"/>
      <c r="G246" s="31"/>
    </row>
    <row r="247" customHeight="1" spans="2:7">
      <c r="B247" s="28"/>
      <c r="C247" s="29" t="s">
        <v>353</v>
      </c>
      <c r="D247" s="28" t="s">
        <v>354</v>
      </c>
      <c r="E247" s="30" t="s">
        <v>12</v>
      </c>
      <c r="F247" s="29"/>
      <c r="G247" s="31"/>
    </row>
    <row r="248" customHeight="1" spans="2:7">
      <c r="B248" s="28"/>
      <c r="C248" s="29" t="s">
        <v>355</v>
      </c>
      <c r="D248" s="28" t="s">
        <v>354</v>
      </c>
      <c r="E248" s="30" t="s">
        <v>12</v>
      </c>
      <c r="F248" s="29"/>
      <c r="G248" s="31"/>
    </row>
    <row r="249" customHeight="1" spans="2:7">
      <c r="B249" s="28"/>
      <c r="C249" s="29" t="s">
        <v>356</v>
      </c>
      <c r="D249" s="28" t="s">
        <v>354</v>
      </c>
      <c r="E249" s="30">
        <v>850</v>
      </c>
      <c r="F249" s="29"/>
      <c r="G249" s="31"/>
    </row>
    <row r="250" customHeight="1" spans="2:7">
      <c r="B250" s="28"/>
      <c r="C250" s="29" t="s">
        <v>357</v>
      </c>
      <c r="D250" s="28" t="s">
        <v>354</v>
      </c>
      <c r="E250" s="30" t="s">
        <v>12</v>
      </c>
      <c r="F250" s="29"/>
      <c r="G250" s="31"/>
    </row>
    <row r="251" customHeight="1" spans="2:7">
      <c r="B251" s="28"/>
      <c r="C251" s="29" t="s">
        <v>358</v>
      </c>
      <c r="D251" s="28" t="s">
        <v>354</v>
      </c>
      <c r="E251" s="30" t="s">
        <v>12</v>
      </c>
      <c r="F251" s="29"/>
      <c r="G251" s="31"/>
    </row>
    <row r="252" customHeight="1" spans="2:7">
      <c r="B252" s="28"/>
      <c r="C252" s="29" t="s">
        <v>359</v>
      </c>
      <c r="D252" s="28" t="s">
        <v>354</v>
      </c>
      <c r="E252" s="30" t="s">
        <v>12</v>
      </c>
      <c r="F252" s="29"/>
      <c r="G252" s="31"/>
    </row>
    <row r="253" customHeight="1" spans="2:7">
      <c r="B253" s="28"/>
      <c r="C253" s="29" t="s">
        <v>360</v>
      </c>
      <c r="D253" s="28" t="s">
        <v>354</v>
      </c>
      <c r="E253" s="36" t="s">
        <v>361</v>
      </c>
      <c r="F253" s="29"/>
      <c r="G253" s="31"/>
    </row>
    <row r="254" customHeight="1" spans="2:7">
      <c r="B254" s="28"/>
      <c r="C254" s="29" t="s">
        <v>362</v>
      </c>
      <c r="D254" s="28" t="s">
        <v>354</v>
      </c>
      <c r="E254" s="35" t="s">
        <v>12</v>
      </c>
      <c r="F254" s="29"/>
      <c r="G254" s="31"/>
    </row>
    <row r="255" customHeight="1" spans="2:7">
      <c r="B255" s="28"/>
      <c r="C255" s="29" t="s">
        <v>363</v>
      </c>
      <c r="D255" s="28" t="s">
        <v>354</v>
      </c>
      <c r="E255" s="36" t="s">
        <v>364</v>
      </c>
      <c r="F255" s="29"/>
      <c r="G255" s="31"/>
    </row>
    <row r="256" customHeight="1" spans="2:7">
      <c r="B256" s="28"/>
      <c r="C256" s="29" t="s">
        <v>365</v>
      </c>
      <c r="D256" s="28" t="s">
        <v>354</v>
      </c>
      <c r="E256" s="35" t="s">
        <v>366</v>
      </c>
      <c r="F256" s="29"/>
      <c r="G256" s="31"/>
    </row>
    <row r="257" customHeight="1" spans="2:7">
      <c r="B257" s="28"/>
      <c r="C257" s="29" t="s">
        <v>367</v>
      </c>
      <c r="D257" s="28" t="s">
        <v>354</v>
      </c>
      <c r="E257" s="36" t="s">
        <v>368</v>
      </c>
      <c r="F257" s="29"/>
      <c r="G257" s="31"/>
    </row>
    <row r="258" customHeight="1" spans="2:7">
      <c r="B258" s="28"/>
      <c r="C258" s="29" t="s">
        <v>369</v>
      </c>
      <c r="D258" s="28" t="s">
        <v>354</v>
      </c>
      <c r="E258" s="35" t="s">
        <v>370</v>
      </c>
      <c r="F258" s="29"/>
      <c r="G258" s="31"/>
    </row>
    <row r="259" customHeight="1" spans="2:7">
      <c r="B259" s="28"/>
      <c r="C259" s="29" t="s">
        <v>371</v>
      </c>
      <c r="D259" s="28" t="s">
        <v>354</v>
      </c>
      <c r="E259" s="36" t="s">
        <v>372</v>
      </c>
      <c r="F259" s="29"/>
      <c r="G259" s="31"/>
    </row>
    <row r="260" customHeight="1" spans="2:7">
      <c r="B260" s="28"/>
      <c r="C260" s="29" t="s">
        <v>373</v>
      </c>
      <c r="D260" s="28" t="s">
        <v>354</v>
      </c>
      <c r="E260" s="35" t="s">
        <v>12</v>
      </c>
      <c r="F260" s="29"/>
      <c r="G260" s="31"/>
    </row>
    <row r="261" customHeight="1" spans="2:7">
      <c r="B261" s="28"/>
      <c r="C261" s="29" t="s">
        <v>374</v>
      </c>
      <c r="D261" s="28" t="s">
        <v>354</v>
      </c>
      <c r="E261" s="36" t="s">
        <v>12</v>
      </c>
      <c r="F261" s="29"/>
      <c r="G261" s="31"/>
    </row>
    <row r="262" customHeight="1" spans="2:7">
      <c r="B262" s="28"/>
      <c r="C262" s="29" t="s">
        <v>375</v>
      </c>
      <c r="D262" s="28" t="s">
        <v>354</v>
      </c>
      <c r="E262" s="35" t="s">
        <v>376</v>
      </c>
      <c r="F262" s="29"/>
      <c r="G262" s="31"/>
    </row>
    <row r="263" customHeight="1" spans="2:7">
      <c r="B263" s="28"/>
      <c r="C263" s="29" t="s">
        <v>377</v>
      </c>
      <c r="D263" s="28" t="s">
        <v>354</v>
      </c>
      <c r="E263" s="36" t="s">
        <v>378</v>
      </c>
      <c r="F263" s="29"/>
      <c r="G263" s="31"/>
    </row>
    <row r="264" customHeight="1" spans="2:7">
      <c r="B264" s="28"/>
      <c r="C264" s="29" t="s">
        <v>379</v>
      </c>
      <c r="D264" s="28" t="s">
        <v>354</v>
      </c>
      <c r="E264" s="35" t="s">
        <v>380</v>
      </c>
      <c r="F264" s="29"/>
      <c r="G264" s="31"/>
    </row>
    <row r="265" customHeight="1" spans="2:7">
      <c r="B265" s="28"/>
      <c r="C265" s="29" t="s">
        <v>381</v>
      </c>
      <c r="D265" s="28" t="s">
        <v>354</v>
      </c>
      <c r="E265" s="36" t="s">
        <v>21</v>
      </c>
      <c r="F265" s="29"/>
      <c r="G265" s="31"/>
    </row>
    <row r="266" customHeight="1" spans="2:7">
      <c r="B266" s="28"/>
      <c r="C266" s="29" t="s">
        <v>382</v>
      </c>
      <c r="D266" s="28" t="s">
        <v>354</v>
      </c>
      <c r="E266" s="35" t="s">
        <v>287</v>
      </c>
      <c r="F266" s="29"/>
      <c r="G266" s="31"/>
    </row>
    <row r="267" customHeight="1" spans="2:7">
      <c r="B267" s="28"/>
      <c r="C267" s="29" t="s">
        <v>383</v>
      </c>
      <c r="D267" s="28" t="s">
        <v>384</v>
      </c>
      <c r="E267" s="36" t="s">
        <v>12</v>
      </c>
      <c r="F267" s="29"/>
      <c r="G267" s="31"/>
    </row>
    <row r="268" customHeight="1" spans="2:7">
      <c r="B268" s="28"/>
      <c r="C268" s="29" t="s">
        <v>385</v>
      </c>
      <c r="D268" s="28" t="s">
        <v>384</v>
      </c>
      <c r="E268" s="35" t="s">
        <v>225</v>
      </c>
      <c r="F268" s="29"/>
      <c r="G268" s="31"/>
    </row>
    <row r="269" customHeight="1" spans="2:7">
      <c r="B269" s="28"/>
      <c r="C269" s="29" t="s">
        <v>386</v>
      </c>
      <c r="D269" s="28" t="s">
        <v>384</v>
      </c>
      <c r="E269" s="36" t="s">
        <v>12</v>
      </c>
      <c r="F269" s="29"/>
      <c r="G269" s="31"/>
    </row>
    <row r="270" customHeight="1" spans="2:7">
      <c r="B270" s="28"/>
      <c r="C270" s="29" t="s">
        <v>387</v>
      </c>
      <c r="D270" s="28" t="s">
        <v>384</v>
      </c>
      <c r="E270" s="35" t="s">
        <v>120</v>
      </c>
      <c r="F270" s="29"/>
      <c r="G270" s="31"/>
    </row>
    <row r="271" customHeight="1" spans="2:7">
      <c r="B271" s="28"/>
      <c r="C271" s="29" t="s">
        <v>388</v>
      </c>
      <c r="D271" s="28" t="s">
        <v>384</v>
      </c>
      <c r="E271" s="36" t="s">
        <v>389</v>
      </c>
      <c r="F271" s="29"/>
      <c r="G271" s="31"/>
    </row>
    <row r="272" customHeight="1" spans="2:7">
      <c r="B272" s="28"/>
      <c r="C272" s="29" t="s">
        <v>390</v>
      </c>
      <c r="D272" s="28" t="s">
        <v>384</v>
      </c>
      <c r="E272" s="35" t="s">
        <v>391</v>
      </c>
      <c r="F272" s="29"/>
      <c r="G272" s="31"/>
    </row>
    <row r="273" customHeight="1" spans="2:7">
      <c r="B273" s="28"/>
      <c r="C273" s="29" t="s">
        <v>392</v>
      </c>
      <c r="D273" s="28" t="s">
        <v>384</v>
      </c>
      <c r="E273" s="36" t="s">
        <v>393</v>
      </c>
      <c r="F273" s="29"/>
      <c r="G273" s="31"/>
    </row>
    <row r="274" customHeight="1" spans="2:7">
      <c r="B274" s="28"/>
      <c r="C274" s="29" t="s">
        <v>394</v>
      </c>
      <c r="D274" s="28" t="s">
        <v>384</v>
      </c>
      <c r="E274" s="35" t="s">
        <v>12</v>
      </c>
      <c r="F274" s="29"/>
      <c r="G274" s="31"/>
    </row>
    <row r="275" customHeight="1" spans="2:7">
      <c r="B275" s="28"/>
      <c r="C275" s="29" t="s">
        <v>395</v>
      </c>
      <c r="D275" s="28" t="s">
        <v>384</v>
      </c>
      <c r="E275" s="36" t="s">
        <v>230</v>
      </c>
      <c r="F275" s="29"/>
      <c r="G275" s="31"/>
    </row>
    <row r="276" customHeight="1" spans="2:7">
      <c r="B276" s="28"/>
      <c r="C276" s="29" t="s">
        <v>396</v>
      </c>
      <c r="D276" s="28" t="s">
        <v>397</v>
      </c>
      <c r="E276" s="35" t="s">
        <v>282</v>
      </c>
      <c r="F276" s="29"/>
      <c r="G276" s="31"/>
    </row>
    <row r="277" customHeight="1" spans="2:7">
      <c r="B277" s="28"/>
      <c r="C277" s="29" t="s">
        <v>398</v>
      </c>
      <c r="D277" s="28" t="s">
        <v>397</v>
      </c>
      <c r="E277" s="36" t="s">
        <v>12</v>
      </c>
      <c r="F277" s="29"/>
      <c r="G277" s="31"/>
    </row>
    <row r="278" customHeight="1" spans="2:7">
      <c r="B278" s="28"/>
      <c r="C278" s="29" t="s">
        <v>399</v>
      </c>
      <c r="D278" s="28" t="s">
        <v>397</v>
      </c>
      <c r="E278" s="35" t="s">
        <v>12</v>
      </c>
      <c r="F278" s="29"/>
      <c r="G278" s="31"/>
    </row>
    <row r="279" customHeight="1" spans="2:7">
      <c r="B279" s="28"/>
      <c r="C279" s="29" t="s">
        <v>400</v>
      </c>
      <c r="D279" s="28" t="s">
        <v>397</v>
      </c>
      <c r="E279" s="36" t="s">
        <v>12</v>
      </c>
      <c r="F279" s="29"/>
      <c r="G279" s="31"/>
    </row>
    <row r="280" customHeight="1" spans="2:7">
      <c r="B280" s="28"/>
      <c r="C280" s="29" t="s">
        <v>401</v>
      </c>
      <c r="D280" s="28" t="s">
        <v>397</v>
      </c>
      <c r="E280" s="35" t="s">
        <v>326</v>
      </c>
      <c r="F280" s="29"/>
      <c r="G280" s="31"/>
    </row>
    <row r="281" customHeight="1" spans="2:7">
      <c r="B281" s="28"/>
      <c r="C281" s="29" t="s">
        <v>402</v>
      </c>
      <c r="D281" s="28" t="s">
        <v>397</v>
      </c>
      <c r="E281" s="36" t="s">
        <v>12</v>
      </c>
      <c r="F281" s="29"/>
      <c r="G281" s="31"/>
    </row>
    <row r="282" customHeight="1" spans="2:7">
      <c r="B282" s="28"/>
      <c r="C282" s="29" t="s">
        <v>403</v>
      </c>
      <c r="D282" s="28" t="s">
        <v>397</v>
      </c>
      <c r="E282" s="35" t="s">
        <v>274</v>
      </c>
      <c r="F282" s="29"/>
      <c r="G282" s="31"/>
    </row>
    <row r="283" customHeight="1" spans="2:7">
      <c r="B283" s="28"/>
      <c r="C283" s="29" t="s">
        <v>404</v>
      </c>
      <c r="D283" s="28" t="s">
        <v>397</v>
      </c>
      <c r="E283" s="36" t="s">
        <v>236</v>
      </c>
      <c r="F283" s="29"/>
      <c r="G283" s="31"/>
    </row>
    <row r="284" customHeight="1" spans="2:7">
      <c r="B284" s="28"/>
      <c r="C284" s="29" t="s">
        <v>405</v>
      </c>
      <c r="D284" s="28" t="s">
        <v>397</v>
      </c>
      <c r="E284" s="35" t="s">
        <v>47</v>
      </c>
      <c r="F284" s="29"/>
      <c r="G284" s="31"/>
    </row>
    <row r="285" customHeight="1" spans="2:7">
      <c r="B285" s="28"/>
      <c r="C285" s="29" t="s">
        <v>406</v>
      </c>
      <c r="D285" s="28" t="s">
        <v>397</v>
      </c>
      <c r="E285" s="36" t="s">
        <v>12</v>
      </c>
      <c r="F285" s="29"/>
      <c r="G285" s="31"/>
    </row>
    <row r="286" customHeight="1" spans="2:7">
      <c r="B286" s="28"/>
      <c r="C286" s="29" t="s">
        <v>407</v>
      </c>
      <c r="D286" s="28" t="s">
        <v>397</v>
      </c>
      <c r="E286" s="35" t="s">
        <v>12</v>
      </c>
      <c r="F286" s="29"/>
      <c r="G286" s="31"/>
    </row>
    <row r="287" customHeight="1" spans="2:7">
      <c r="B287" s="28"/>
      <c r="C287" s="29" t="s">
        <v>408</v>
      </c>
      <c r="D287" s="28" t="s">
        <v>397</v>
      </c>
      <c r="E287" s="36" t="s">
        <v>409</v>
      </c>
      <c r="F287" s="29"/>
      <c r="G287" s="31"/>
    </row>
    <row r="288" customHeight="1" spans="2:7">
      <c r="B288" s="28"/>
      <c r="C288" s="29" t="s">
        <v>410</v>
      </c>
      <c r="D288" s="28" t="s">
        <v>397</v>
      </c>
      <c r="E288" s="35" t="s">
        <v>409</v>
      </c>
      <c r="F288" s="29"/>
      <c r="G288" s="31"/>
    </row>
    <row r="289" customHeight="1" spans="2:7">
      <c r="B289" s="28"/>
      <c r="C289" s="29" t="s">
        <v>411</v>
      </c>
      <c r="D289" s="28" t="s">
        <v>412</v>
      </c>
      <c r="E289" s="36" t="s">
        <v>12</v>
      </c>
      <c r="F289" s="29"/>
      <c r="G289" s="31"/>
    </row>
    <row r="290" customHeight="1" spans="2:7">
      <c r="B290" s="28"/>
      <c r="C290" s="29" t="s">
        <v>413</v>
      </c>
      <c r="D290" s="28" t="s">
        <v>412</v>
      </c>
      <c r="E290" s="35" t="s">
        <v>12</v>
      </c>
      <c r="F290" s="29"/>
      <c r="G290" s="31"/>
    </row>
    <row r="291" customHeight="1" spans="2:7">
      <c r="B291" s="28"/>
      <c r="C291" s="29" t="s">
        <v>414</v>
      </c>
      <c r="D291" s="28" t="s">
        <v>412</v>
      </c>
      <c r="E291" s="36" t="s">
        <v>130</v>
      </c>
      <c r="F291" s="29"/>
      <c r="G291" s="31"/>
    </row>
    <row r="292" customHeight="1" spans="2:7">
      <c r="B292" s="28"/>
      <c r="C292" s="29" t="s">
        <v>415</v>
      </c>
      <c r="D292" s="28" t="s">
        <v>412</v>
      </c>
      <c r="E292" s="35" t="s">
        <v>12</v>
      </c>
      <c r="F292" s="29"/>
      <c r="G292" s="31"/>
    </row>
    <row r="293" customHeight="1" spans="2:7">
      <c r="B293" s="28"/>
      <c r="C293" s="29" t="s">
        <v>416</v>
      </c>
      <c r="D293" s="28" t="s">
        <v>412</v>
      </c>
      <c r="E293" s="36" t="s">
        <v>12</v>
      </c>
      <c r="F293" s="29"/>
      <c r="G293" s="31"/>
    </row>
    <row r="294" customHeight="1" spans="2:7">
      <c r="B294" s="28"/>
      <c r="C294" s="29" t="s">
        <v>417</v>
      </c>
      <c r="D294" s="28" t="s">
        <v>412</v>
      </c>
      <c r="E294" s="35" t="s">
        <v>120</v>
      </c>
      <c r="F294" s="29"/>
      <c r="G294" s="31"/>
    </row>
    <row r="295" customHeight="1" spans="2:7">
      <c r="B295" s="28"/>
      <c r="C295" s="29" t="s">
        <v>418</v>
      </c>
      <c r="D295" s="28" t="s">
        <v>412</v>
      </c>
      <c r="E295" s="36" t="s">
        <v>328</v>
      </c>
      <c r="F295" s="29"/>
      <c r="G295" s="31"/>
    </row>
    <row r="296" customHeight="1" spans="2:7">
      <c r="B296" s="28"/>
      <c r="C296" s="29" t="s">
        <v>419</v>
      </c>
      <c r="D296" s="28" t="s">
        <v>412</v>
      </c>
      <c r="E296" s="35" t="s">
        <v>12</v>
      </c>
      <c r="F296" s="29"/>
      <c r="G296" s="31"/>
    </row>
    <row r="297" customHeight="1" spans="2:7">
      <c r="B297" s="28"/>
      <c r="C297" s="29" t="s">
        <v>420</v>
      </c>
      <c r="D297" s="28" t="s">
        <v>412</v>
      </c>
      <c r="E297" s="36" t="s">
        <v>12</v>
      </c>
      <c r="F297" s="29"/>
      <c r="G297" s="31"/>
    </row>
    <row r="298" customHeight="1" spans="2:7">
      <c r="B298" s="28"/>
      <c r="C298" s="29" t="s">
        <v>421</v>
      </c>
      <c r="D298" s="28" t="s">
        <v>412</v>
      </c>
      <c r="E298" s="35" t="s">
        <v>12</v>
      </c>
      <c r="F298" s="29"/>
      <c r="G298" s="31"/>
    </row>
    <row r="299" customHeight="1" spans="2:7">
      <c r="B299" s="28"/>
      <c r="C299" s="29" t="s">
        <v>422</v>
      </c>
      <c r="D299" s="28" t="s">
        <v>412</v>
      </c>
      <c r="E299" s="36" t="s">
        <v>423</v>
      </c>
      <c r="F299" s="29"/>
      <c r="G299" s="31"/>
    </row>
    <row r="300" customHeight="1" spans="2:7">
      <c r="B300" s="28"/>
      <c r="C300" s="29" t="s">
        <v>424</v>
      </c>
      <c r="D300" s="28" t="s">
        <v>412</v>
      </c>
      <c r="E300" s="35" t="s">
        <v>98</v>
      </c>
      <c r="F300" s="29"/>
      <c r="G300" s="31"/>
    </row>
  </sheetData>
  <dataValidations count="1">
    <dataValidation type="list" allowBlank="1" sqref="D6:D300">
      <formula1>"Playgroup,PP1,PP2,Grade 1,Grade 2,Grade 3,Grade 4,Grade 5,Grade 6,Grade 7,Grade 8,Grade 9"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D16"/>
  <sheetViews>
    <sheetView showGridLines="0" topLeftCell="A4" workbookViewId="0">
      <selection activeCell="A1" sqref="A1"/>
    </sheetView>
  </sheetViews>
  <sheetFormatPr defaultColWidth="12.6285714285714" defaultRowHeight="15.75" customHeight="1" outlineLevelCol="3"/>
  <cols>
    <col min="2" max="3" width="18.8761904761905" customWidth="1"/>
    <col min="4" max="4" width="22.6285714285714" customWidth="1"/>
  </cols>
  <sheetData>
    <row r="2" ht="30" spans="2:4">
      <c r="B2" s="19" t="s">
        <v>425</v>
      </c>
    </row>
    <row r="4" ht="22.5" customHeight="1" spans="2:4">
      <c r="B4" s="20" t="s">
        <v>5</v>
      </c>
      <c r="C4" s="20" t="s">
        <v>426</v>
      </c>
      <c r="D4" s="20" t="s">
        <v>427</v>
      </c>
    </row>
    <row r="5" ht="22.5" customHeight="1" spans="2:4">
      <c r="B5" s="21" t="s">
        <v>10</v>
      </c>
      <c r="C5" s="21">
        <f>COUNTIF('Data Entry'!D:D,B5)</f>
        <v>26</v>
      </c>
      <c r="D5" s="22">
        <f>SUMIF('Data Entry'!D:D,B5,'Data Entry'!E:E)</f>
        <v>3550</v>
      </c>
    </row>
    <row r="6" ht="22.5" customHeight="1" spans="2:4">
      <c r="B6" s="21" t="s">
        <v>60</v>
      </c>
      <c r="C6" s="21">
        <f>COUNTIF('Data Entry'!D:D,B6)</f>
        <v>40</v>
      </c>
      <c r="D6" s="22">
        <f>SUMIF('Data Entry'!D:D,B6,'Data Entry'!E:E)</f>
        <v>4630</v>
      </c>
    </row>
    <row r="7" ht="22.5" customHeight="1" spans="2:4">
      <c r="B7" s="21" t="s">
        <v>126</v>
      </c>
      <c r="C7" s="21">
        <f>COUNTIF('Data Entry'!D:D,B7)</f>
        <v>35</v>
      </c>
      <c r="D7" s="22">
        <f>SUMIF('Data Entry'!D:D,B7,'Data Entry'!E:E)</f>
        <v>3800</v>
      </c>
    </row>
    <row r="8" ht="22.5" customHeight="1" spans="2:4">
      <c r="B8" s="21" t="s">
        <v>186</v>
      </c>
      <c r="C8" s="21">
        <f>COUNTIF('Data Entry'!D:D,B8)</f>
        <v>32</v>
      </c>
      <c r="D8" s="22">
        <f>SUMIF('Data Entry'!D:D,B8,'Data Entry'!E:E)</f>
        <v>3550</v>
      </c>
    </row>
    <row r="9" ht="22.5" customHeight="1" spans="2:4">
      <c r="B9" s="21" t="s">
        <v>222</v>
      </c>
      <c r="C9" s="21">
        <f>COUNTIF('Data Entry'!D:D,B9)</f>
        <v>24</v>
      </c>
      <c r="D9" s="22">
        <f>SUMIF('Data Entry'!D:D,B9,'Data Entry'!E:E)</f>
        <v>6100</v>
      </c>
    </row>
    <row r="10" ht="22.5" customHeight="1" spans="2:4">
      <c r="B10" s="21" t="s">
        <v>253</v>
      </c>
      <c r="C10" s="21">
        <f>COUNTIF('Data Entry'!D:D,B10)</f>
        <v>29</v>
      </c>
      <c r="D10" s="22">
        <f>SUMIF('Data Entry'!D:D,B10,'Data Entry'!E:E)</f>
        <v>1800</v>
      </c>
    </row>
    <row r="11" ht="22.5" customHeight="1" spans="2:4">
      <c r="B11" s="21" t="s">
        <v>290</v>
      </c>
      <c r="C11" s="21">
        <f>COUNTIF('Data Entry'!D:D,B11)</f>
        <v>28</v>
      </c>
      <c r="D11" s="22">
        <f>SUMIF('Data Entry'!D:D,B11,'Data Entry'!E:E)</f>
        <v>1250</v>
      </c>
    </row>
    <row r="12" ht="22.5" customHeight="1" spans="2:4">
      <c r="B12" s="21" t="s">
        <v>323</v>
      </c>
      <c r="C12" s="21">
        <f>COUNTIF('Data Entry'!D:D,B12)</f>
        <v>27</v>
      </c>
      <c r="D12" s="22">
        <f>SUMIF('Data Entry'!D:D,B12,'Data Entry'!E:E)</f>
        <v>400</v>
      </c>
    </row>
    <row r="13" ht="22.5" customHeight="1" spans="2:4">
      <c r="B13" s="21" t="s">
        <v>354</v>
      </c>
      <c r="C13" s="21">
        <f>COUNTIF('Data Entry'!D:D,B13)</f>
        <v>20</v>
      </c>
      <c r="D13" s="22">
        <f>SUMIF('Data Entry'!D:D,B13,'Data Entry'!E:E)</f>
        <v>850</v>
      </c>
    </row>
    <row r="14" ht="22.5" customHeight="1" spans="2:4">
      <c r="B14" s="21" t="s">
        <v>384</v>
      </c>
      <c r="C14" s="21">
        <f>COUNTIF('Data Entry'!D:D,B14)</f>
        <v>9</v>
      </c>
      <c r="D14" s="22">
        <f>SUMIF('Data Entry'!D:D,B14,'Data Entry'!E:E)</f>
        <v>0</v>
      </c>
    </row>
    <row r="15" ht="22.5" customHeight="1" spans="2:4">
      <c r="B15" s="21" t="s">
        <v>397</v>
      </c>
      <c r="C15" s="21">
        <f>COUNTIF('Data Entry'!D:D,B15)</f>
        <v>13</v>
      </c>
      <c r="D15" s="22">
        <f>SUMIF('Data Entry'!D:D,B15,'Data Entry'!E:E)</f>
        <v>0</v>
      </c>
    </row>
    <row r="16" ht="22.5" customHeight="1" spans="2:4">
      <c r="B16" s="21" t="s">
        <v>412</v>
      </c>
      <c r="C16" s="21">
        <f>COUNTIF('Data Entry'!D:D,B16)</f>
        <v>12</v>
      </c>
      <c r="D16" s="22">
        <f>SUMIF('Data Entry'!D:D,B16,'Data Entry'!E:E)</f>
        <v>0</v>
      </c>
    </row>
  </sheetData>
  <dataValidations count="1">
    <dataValidation type="custom" allowBlank="1" sqref="D5:D16">
      <formula1>AND(ISNUMBER(D5),(NOT(OR(NOT(ISERROR(DATEVALUE(D5))),AND(ISNUMBER(D5),LEFT(CELL("format",D5))="D")))))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L105"/>
  <sheetViews>
    <sheetView showGridLines="0" workbookViewId="0">
      <pane ySplit="5" topLeftCell="A13" activePane="bottomLeft" state="frozen"/>
      <selection/>
      <selection pane="bottomLeft" activeCell="L7" sqref="L7"/>
    </sheetView>
  </sheetViews>
  <sheetFormatPr defaultColWidth="12.6285714285714" defaultRowHeight="15.75" customHeight="1"/>
  <cols>
    <col min="2" max="2" width="29" customWidth="1"/>
    <col min="3" max="3" width="8.24761904761905" customWidth="1"/>
    <col min="4" max="4" width="15.3809523809524" customWidth="1"/>
    <col min="5" max="5" width="6.38095238095238" customWidth="1"/>
    <col min="6" max="6" width="10" customWidth="1"/>
    <col min="7" max="7" width="23.1333333333333" customWidth="1"/>
    <col min="8" max="8" width="15.6285714285714" customWidth="1"/>
    <col min="9" max="9" width="13.752380952381" customWidth="1"/>
    <col min="10" max="10" width="9.62857142857143" customWidth="1"/>
    <col min="11" max="11" width="5.62857142857143" customWidth="1"/>
    <col min="12" max="12" width="14.7142857142857"/>
  </cols>
  <sheetData>
    <row r="2" customHeight="1" spans="2:12">
      <c r="B2" s="5" t="s">
        <v>428</v>
      </c>
    </row>
    <row r="3" customHeight="1" spans="2:12">
      <c r="B3" s="6" t="s">
        <v>429</v>
      </c>
      <c r="C3" s="6">
        <f>COUNTA(B6:B105)</f>
        <v>20</v>
      </c>
      <c r="D3" s="6"/>
      <c r="E3" s="6"/>
      <c r="F3" s="6"/>
      <c r="G3" s="6"/>
      <c r="H3" s="6"/>
      <c r="I3" s="6"/>
      <c r="J3" s="6"/>
      <c r="K3" s="6"/>
    </row>
    <row r="5" customHeight="1" spans="2:12">
      <c r="B5" s="13" t="s">
        <v>430</v>
      </c>
      <c r="C5" s="13" t="s">
        <v>431</v>
      </c>
      <c r="D5" s="13" t="s">
        <v>432</v>
      </c>
      <c r="E5" s="13" t="s">
        <v>433</v>
      </c>
      <c r="F5" s="13" t="s">
        <v>434</v>
      </c>
      <c r="G5" s="13" t="s">
        <v>435</v>
      </c>
      <c r="H5" s="14" t="s">
        <v>436</v>
      </c>
      <c r="I5" s="14" t="s">
        <v>437</v>
      </c>
      <c r="J5" s="14" t="s">
        <v>438</v>
      </c>
      <c r="K5" s="14" t="s">
        <v>439</v>
      </c>
      <c r="L5" s="14" t="s">
        <v>440</v>
      </c>
    </row>
    <row r="6" customHeight="1" spans="2:12">
      <c r="B6" s="14">
        <v>1</v>
      </c>
      <c r="C6" s="14">
        <v>12460817</v>
      </c>
      <c r="D6" s="14" t="s">
        <v>441</v>
      </c>
      <c r="E6" s="11"/>
      <c r="F6" s="15" t="s">
        <v>442</v>
      </c>
      <c r="G6" s="14" t="s">
        <v>443</v>
      </c>
      <c r="H6" s="11"/>
      <c r="I6" s="11"/>
      <c r="J6" s="16"/>
      <c r="K6" s="11"/>
      <c r="L6" s="17">
        <v>12000</v>
      </c>
    </row>
    <row r="7" customHeight="1" spans="2:12">
      <c r="B7" s="14">
        <v>2</v>
      </c>
      <c r="C7" s="14">
        <v>8130256</v>
      </c>
      <c r="D7" s="14" t="s">
        <v>444</v>
      </c>
      <c r="E7" s="11"/>
      <c r="F7" s="15" t="s">
        <v>445</v>
      </c>
      <c r="G7" s="14" t="s">
        <v>443</v>
      </c>
      <c r="H7" s="11"/>
      <c r="I7" s="11"/>
      <c r="J7" s="16"/>
      <c r="K7" s="11"/>
      <c r="L7" s="17">
        <v>9500</v>
      </c>
    </row>
    <row r="8" customHeight="1" spans="2:12">
      <c r="B8" s="14">
        <v>3</v>
      </c>
      <c r="C8" s="14" t="s">
        <v>446</v>
      </c>
      <c r="D8" s="14" t="s">
        <v>447</v>
      </c>
      <c r="E8" s="11"/>
      <c r="F8" s="15" t="s">
        <v>448</v>
      </c>
      <c r="G8" s="14" t="s">
        <v>449</v>
      </c>
      <c r="H8" s="11"/>
      <c r="I8" s="11"/>
      <c r="J8" s="16"/>
      <c r="K8" s="11"/>
      <c r="L8" s="17">
        <v>7500</v>
      </c>
    </row>
    <row r="9" customHeight="1" spans="2:12">
      <c r="B9" s="14">
        <v>4</v>
      </c>
      <c r="C9" s="14">
        <v>36882511</v>
      </c>
      <c r="D9" s="14" t="s">
        <v>450</v>
      </c>
      <c r="E9" s="11"/>
      <c r="F9" s="15" t="s">
        <v>451</v>
      </c>
      <c r="G9" s="14" t="s">
        <v>449</v>
      </c>
      <c r="H9" s="11"/>
      <c r="I9" s="11"/>
      <c r="J9" s="16"/>
      <c r="K9" s="11"/>
      <c r="L9" s="17">
        <v>7500</v>
      </c>
    </row>
    <row r="10" customHeight="1" spans="2:12">
      <c r="B10" s="14">
        <v>5</v>
      </c>
      <c r="C10" s="14">
        <v>38871014</v>
      </c>
      <c r="D10" s="14" t="s">
        <v>452</v>
      </c>
      <c r="E10" s="11"/>
      <c r="F10" s="15" t="s">
        <v>453</v>
      </c>
      <c r="G10" s="14" t="s">
        <v>449</v>
      </c>
      <c r="H10" s="11"/>
      <c r="I10" s="11"/>
      <c r="J10" s="16"/>
      <c r="K10" s="11"/>
      <c r="L10" s="17">
        <v>7500</v>
      </c>
    </row>
    <row r="11" customHeight="1" spans="2:12">
      <c r="B11" s="14">
        <v>6</v>
      </c>
      <c r="C11" s="14">
        <v>40036701</v>
      </c>
      <c r="D11" s="14" t="s">
        <v>454</v>
      </c>
      <c r="E11" s="11"/>
      <c r="F11" s="15" t="s">
        <v>455</v>
      </c>
      <c r="G11" s="14" t="s">
        <v>449</v>
      </c>
      <c r="H11" s="11"/>
      <c r="I11" s="11"/>
      <c r="J11" s="16"/>
      <c r="K11" s="11"/>
      <c r="L11" s="17">
        <v>7500</v>
      </c>
    </row>
    <row r="12" customHeight="1" spans="2:12">
      <c r="B12" s="14">
        <v>7</v>
      </c>
      <c r="C12" s="14">
        <v>40068298</v>
      </c>
      <c r="D12" s="14" t="s">
        <v>456</v>
      </c>
      <c r="E12" s="11"/>
      <c r="F12" s="15" t="s">
        <v>457</v>
      </c>
      <c r="G12" s="14" t="s">
        <v>449</v>
      </c>
      <c r="H12" s="11"/>
      <c r="I12" s="11"/>
      <c r="J12" s="16"/>
      <c r="K12" s="11"/>
      <c r="L12" s="17">
        <v>7500</v>
      </c>
    </row>
    <row r="13" customHeight="1" spans="2:12">
      <c r="B13" s="14">
        <v>8</v>
      </c>
      <c r="C13" s="14">
        <v>41145875</v>
      </c>
      <c r="D13" s="14" t="s">
        <v>458</v>
      </c>
      <c r="E13" s="11"/>
      <c r="F13" s="15" t="s">
        <v>459</v>
      </c>
      <c r="G13" s="14" t="s">
        <v>449</v>
      </c>
      <c r="H13" s="11"/>
      <c r="I13" s="11"/>
      <c r="J13" s="16"/>
      <c r="K13" s="11"/>
      <c r="L13" s="17">
        <v>6500</v>
      </c>
    </row>
    <row r="14" customHeight="1" spans="2:12">
      <c r="B14" s="14">
        <v>9</v>
      </c>
      <c r="C14" s="14">
        <v>36602106</v>
      </c>
      <c r="D14" s="14" t="s">
        <v>460</v>
      </c>
      <c r="E14" s="11"/>
      <c r="F14" s="15" t="s">
        <v>461</v>
      </c>
      <c r="G14" s="14" t="s">
        <v>449</v>
      </c>
      <c r="H14" s="11"/>
      <c r="I14" s="11"/>
      <c r="J14" s="16"/>
      <c r="K14" s="11"/>
      <c r="L14" s="17">
        <v>7500</v>
      </c>
    </row>
    <row r="15" customHeight="1" spans="2:12">
      <c r="B15" s="14">
        <v>10</v>
      </c>
      <c r="C15" s="14" t="s">
        <v>446</v>
      </c>
      <c r="D15" s="14" t="s">
        <v>462</v>
      </c>
      <c r="E15" s="11"/>
      <c r="F15" s="15" t="s">
        <v>463</v>
      </c>
      <c r="G15" s="14" t="s">
        <v>449</v>
      </c>
      <c r="H15" s="11"/>
      <c r="I15" s="11"/>
      <c r="J15" s="16"/>
      <c r="K15" s="11"/>
      <c r="L15" s="17">
        <v>7500</v>
      </c>
    </row>
    <row r="16" customHeight="1" spans="2:12">
      <c r="B16" s="14">
        <v>11</v>
      </c>
      <c r="C16" s="14" t="s">
        <v>446</v>
      </c>
      <c r="D16" s="14" t="s">
        <v>464</v>
      </c>
      <c r="E16" s="11"/>
      <c r="F16" s="15" t="s">
        <v>465</v>
      </c>
      <c r="G16" s="14" t="s">
        <v>449</v>
      </c>
      <c r="H16" s="11"/>
      <c r="I16" s="11"/>
      <c r="J16" s="16"/>
      <c r="K16" s="11"/>
      <c r="L16" s="17">
        <v>6500</v>
      </c>
    </row>
    <row r="17" customHeight="1" spans="2:12">
      <c r="B17" s="14">
        <v>12</v>
      </c>
      <c r="C17" s="14" t="s">
        <v>446</v>
      </c>
      <c r="D17" s="14" t="s">
        <v>466</v>
      </c>
      <c r="E17" s="11"/>
      <c r="F17" s="15" t="s">
        <v>467</v>
      </c>
      <c r="G17" s="14" t="s">
        <v>449</v>
      </c>
      <c r="H17" s="11"/>
      <c r="I17" s="11"/>
      <c r="J17" s="16"/>
      <c r="K17" s="11"/>
      <c r="L17" s="17">
        <v>6500</v>
      </c>
    </row>
    <row r="18" customHeight="1" spans="2:12">
      <c r="B18" s="14">
        <v>13</v>
      </c>
      <c r="C18" s="14" t="s">
        <v>446</v>
      </c>
      <c r="D18" s="14" t="s">
        <v>468</v>
      </c>
      <c r="E18" s="11"/>
      <c r="F18" s="15" t="s">
        <v>469</v>
      </c>
      <c r="G18" s="14" t="s">
        <v>449</v>
      </c>
      <c r="H18" s="11"/>
      <c r="I18" s="11"/>
      <c r="J18" s="16"/>
      <c r="K18" s="11"/>
      <c r="L18" s="17">
        <v>7500</v>
      </c>
    </row>
    <row r="19" customHeight="1" spans="2:12">
      <c r="B19" s="14">
        <v>14</v>
      </c>
      <c r="C19" s="14" t="s">
        <v>446</v>
      </c>
      <c r="D19" s="14" t="s">
        <v>470</v>
      </c>
      <c r="E19" s="11"/>
      <c r="F19" s="15" t="s">
        <v>446</v>
      </c>
      <c r="G19" s="14" t="s">
        <v>449</v>
      </c>
      <c r="H19" s="11"/>
      <c r="I19" s="11"/>
      <c r="J19" s="16"/>
      <c r="K19" s="11"/>
      <c r="L19" s="17">
        <v>6500</v>
      </c>
    </row>
    <row r="20" customHeight="1" spans="2:12">
      <c r="B20" s="14">
        <v>15</v>
      </c>
      <c r="C20" s="14" t="s">
        <v>446</v>
      </c>
      <c r="D20" s="14" t="s">
        <v>471</v>
      </c>
      <c r="E20" s="11"/>
      <c r="F20" s="15" t="s">
        <v>472</v>
      </c>
      <c r="G20" s="14" t="s">
        <v>449</v>
      </c>
      <c r="H20" s="11"/>
      <c r="I20" s="11"/>
      <c r="J20" s="16"/>
      <c r="K20" s="11"/>
      <c r="L20" s="17">
        <v>6000</v>
      </c>
    </row>
    <row r="21" customHeight="1" spans="2:12">
      <c r="B21" s="14">
        <v>16</v>
      </c>
      <c r="C21" s="14" t="s">
        <v>446</v>
      </c>
      <c r="D21" s="14" t="s">
        <v>473</v>
      </c>
      <c r="E21" s="11"/>
      <c r="F21" s="15" t="s">
        <v>446</v>
      </c>
      <c r="G21" s="14" t="s">
        <v>474</v>
      </c>
      <c r="H21" s="11"/>
      <c r="I21" s="11"/>
      <c r="J21" s="16"/>
      <c r="K21" s="11"/>
      <c r="L21" s="17">
        <v>6000</v>
      </c>
    </row>
    <row r="22" customHeight="1" spans="2:12">
      <c r="B22" s="14">
        <v>17</v>
      </c>
      <c r="C22" s="14">
        <v>3976544</v>
      </c>
      <c r="D22" s="14" t="s">
        <v>475</v>
      </c>
      <c r="E22" s="11"/>
      <c r="F22" s="15" t="s">
        <v>476</v>
      </c>
      <c r="G22" s="14" t="s">
        <v>474</v>
      </c>
      <c r="H22" s="11"/>
      <c r="I22" s="11"/>
      <c r="J22" s="16"/>
      <c r="K22" s="11"/>
      <c r="L22" s="17">
        <v>6500</v>
      </c>
    </row>
    <row r="23" customHeight="1" spans="2:12">
      <c r="B23" s="14">
        <v>18</v>
      </c>
      <c r="C23" s="14" t="s">
        <v>446</v>
      </c>
      <c r="D23" s="14" t="s">
        <v>477</v>
      </c>
      <c r="E23" s="11"/>
      <c r="F23" s="15" t="s">
        <v>478</v>
      </c>
      <c r="G23" s="14" t="s">
        <v>474</v>
      </c>
      <c r="H23" s="11"/>
      <c r="I23" s="11"/>
      <c r="J23" s="16"/>
      <c r="K23" s="11"/>
      <c r="L23" s="17">
        <v>6000</v>
      </c>
    </row>
    <row r="24" customHeight="1" spans="2:12">
      <c r="B24" s="14">
        <v>19</v>
      </c>
      <c r="C24" s="14" t="s">
        <v>446</v>
      </c>
      <c r="D24" s="14" t="s">
        <v>479</v>
      </c>
      <c r="E24" s="11"/>
      <c r="F24" s="15" t="s">
        <v>480</v>
      </c>
      <c r="G24" s="14" t="s">
        <v>474</v>
      </c>
      <c r="H24" s="11"/>
      <c r="I24" s="11"/>
      <c r="J24" s="16"/>
      <c r="K24" s="11"/>
      <c r="L24" s="17">
        <v>4500</v>
      </c>
    </row>
    <row r="25" customHeight="1" spans="2:12">
      <c r="B25" s="14">
        <v>20</v>
      </c>
      <c r="C25" s="14" t="s">
        <v>446</v>
      </c>
      <c r="D25" s="14" t="s">
        <v>481</v>
      </c>
      <c r="E25" s="11"/>
      <c r="F25" s="15" t="s">
        <v>446</v>
      </c>
      <c r="G25" s="14" t="s">
        <v>474</v>
      </c>
      <c r="H25" s="11"/>
      <c r="I25" s="11"/>
      <c r="J25" s="16"/>
      <c r="K25" s="11"/>
      <c r="L25" s="17">
        <v>4500</v>
      </c>
    </row>
    <row r="26" customHeight="1" spans="2:12">
      <c r="B26" s="11"/>
      <c r="C26" s="11"/>
      <c r="D26" s="14" t="s">
        <v>482</v>
      </c>
      <c r="E26" s="11"/>
      <c r="F26" s="18"/>
      <c r="G26" s="11"/>
      <c r="H26" s="11"/>
      <c r="I26" s="11"/>
      <c r="J26" s="16"/>
      <c r="K26" s="11"/>
      <c r="L26" s="11"/>
    </row>
    <row r="27" customHeight="1" spans="2:12">
      <c r="B27" s="11"/>
      <c r="C27" s="11"/>
      <c r="D27" s="11"/>
      <c r="E27" s="11"/>
      <c r="F27" s="18"/>
      <c r="G27" s="11"/>
      <c r="H27" s="11"/>
      <c r="I27" s="11"/>
      <c r="J27" s="16"/>
      <c r="K27" s="11"/>
      <c r="L27" s="11"/>
    </row>
    <row r="28" customHeight="1" spans="2:12">
      <c r="B28" s="11"/>
      <c r="C28" s="11"/>
      <c r="D28" s="11"/>
      <c r="E28" s="11"/>
      <c r="F28" s="18"/>
      <c r="G28" s="11"/>
      <c r="H28" s="11"/>
      <c r="I28" s="11"/>
      <c r="J28" s="16"/>
      <c r="K28" s="11"/>
      <c r="L28" s="11"/>
    </row>
    <row r="29" customHeight="1" spans="2:12">
      <c r="B29" s="11"/>
      <c r="C29" s="11"/>
      <c r="D29" s="11"/>
      <c r="E29" s="11"/>
      <c r="F29" s="18"/>
      <c r="G29" s="11"/>
      <c r="H29" s="11"/>
      <c r="I29" s="11"/>
      <c r="J29" s="16"/>
      <c r="K29" s="11"/>
      <c r="L29" s="11"/>
    </row>
    <row r="30" customHeight="1" spans="2:12">
      <c r="B30" s="11"/>
      <c r="C30" s="11"/>
      <c r="D30" s="11"/>
      <c r="E30" s="11"/>
      <c r="F30" s="18"/>
      <c r="G30" s="11"/>
      <c r="H30" s="11"/>
      <c r="I30" s="11"/>
      <c r="J30" s="16"/>
      <c r="K30" s="11"/>
      <c r="L30" s="11"/>
    </row>
    <row r="31" customHeight="1" spans="2:12">
      <c r="B31" s="11"/>
      <c r="C31" s="11"/>
      <c r="D31" s="11"/>
      <c r="E31" s="11"/>
      <c r="F31" s="18"/>
      <c r="G31" s="11"/>
      <c r="H31" s="11"/>
      <c r="I31" s="11"/>
      <c r="J31" s="16"/>
      <c r="K31" s="11"/>
      <c r="L31" s="11"/>
    </row>
    <row r="32" customHeight="1" spans="2:12">
      <c r="B32" s="11"/>
      <c r="C32" s="11"/>
      <c r="D32" s="11"/>
      <c r="E32" s="11"/>
      <c r="F32" s="18"/>
      <c r="G32" s="11"/>
      <c r="H32" s="11"/>
      <c r="I32" s="11"/>
      <c r="J32" s="16"/>
      <c r="K32" s="11"/>
      <c r="L32" s="11"/>
    </row>
    <row r="33" customHeight="1" spans="2:12">
      <c r="B33" s="11"/>
      <c r="C33" s="11"/>
      <c r="D33" s="11"/>
      <c r="E33" s="11"/>
      <c r="F33" s="18"/>
      <c r="G33" s="11"/>
      <c r="H33" s="11"/>
      <c r="I33" s="11"/>
      <c r="J33" s="16"/>
      <c r="K33" s="11"/>
      <c r="L33" s="11"/>
    </row>
    <row r="34" customHeight="1" spans="2:12">
      <c r="B34" s="11"/>
      <c r="C34" s="11"/>
      <c r="D34" s="11"/>
      <c r="E34" s="11"/>
      <c r="F34" s="18"/>
      <c r="G34" s="11"/>
      <c r="H34" s="11"/>
      <c r="I34" s="11"/>
      <c r="J34" s="16"/>
      <c r="K34" s="11"/>
      <c r="L34" s="11"/>
    </row>
    <row r="35" customHeight="1" spans="2:12">
      <c r="B35" s="11"/>
      <c r="C35" s="11"/>
      <c r="D35" s="11"/>
      <c r="E35" s="11"/>
      <c r="F35" s="18"/>
      <c r="G35" s="11"/>
      <c r="H35" s="11"/>
      <c r="I35" s="11"/>
      <c r="J35" s="16"/>
      <c r="K35" s="11"/>
      <c r="L35" s="11"/>
    </row>
    <row r="36" customHeight="1" spans="2:12">
      <c r="B36" s="11"/>
      <c r="C36" s="11"/>
      <c r="D36" s="11"/>
      <c r="E36" s="11"/>
      <c r="F36" s="18"/>
      <c r="G36" s="11"/>
      <c r="H36" s="11"/>
      <c r="I36" s="11"/>
      <c r="J36" s="16"/>
      <c r="K36" s="11"/>
      <c r="L36" s="11"/>
    </row>
    <row r="37" customHeight="1" spans="2:12">
      <c r="B37" s="11"/>
      <c r="C37" s="11"/>
      <c r="D37" s="11"/>
      <c r="E37" s="11"/>
      <c r="F37" s="18"/>
      <c r="G37" s="11"/>
      <c r="H37" s="11"/>
      <c r="I37" s="11"/>
      <c r="J37" s="16"/>
      <c r="K37" s="11"/>
      <c r="L37" s="11"/>
    </row>
    <row r="38" customHeight="1" spans="2:12">
      <c r="B38" s="11"/>
      <c r="C38" s="11"/>
      <c r="D38" s="11"/>
      <c r="E38" s="11"/>
      <c r="F38" s="18"/>
      <c r="G38" s="11"/>
      <c r="H38" s="11"/>
      <c r="I38" s="11"/>
      <c r="J38" s="16"/>
      <c r="K38" s="11"/>
      <c r="L38" s="11"/>
    </row>
    <row r="39" customHeight="1" spans="2:12">
      <c r="B39" s="11"/>
      <c r="C39" s="11"/>
      <c r="D39" s="11"/>
      <c r="E39" s="11"/>
      <c r="F39" s="18"/>
      <c r="G39" s="11"/>
      <c r="H39" s="11"/>
      <c r="I39" s="11"/>
      <c r="J39" s="16"/>
      <c r="K39" s="11"/>
      <c r="L39" s="11"/>
    </row>
    <row r="40" customHeight="1" spans="2:12">
      <c r="B40" s="11"/>
      <c r="C40" s="11"/>
      <c r="D40" s="11"/>
      <c r="E40" s="11"/>
      <c r="F40" s="18"/>
      <c r="G40" s="11"/>
      <c r="H40" s="11"/>
      <c r="I40" s="11"/>
      <c r="J40" s="16"/>
      <c r="K40" s="11"/>
      <c r="L40" s="11"/>
    </row>
    <row r="41" customHeight="1" spans="2:12">
      <c r="B41" s="11"/>
      <c r="C41" s="11"/>
      <c r="D41" s="11"/>
      <c r="E41" s="11"/>
      <c r="F41" s="18"/>
      <c r="G41" s="11"/>
      <c r="H41" s="11"/>
      <c r="I41" s="11"/>
      <c r="J41" s="16"/>
      <c r="K41" s="11"/>
      <c r="L41" s="11"/>
    </row>
    <row r="42" customHeight="1" spans="2:12">
      <c r="B42" s="11"/>
      <c r="C42" s="11"/>
      <c r="D42" s="11"/>
      <c r="E42" s="11"/>
      <c r="F42" s="18"/>
      <c r="G42" s="11"/>
      <c r="H42" s="11"/>
      <c r="I42" s="11"/>
      <c r="J42" s="16"/>
      <c r="K42" s="11"/>
      <c r="L42" s="11"/>
    </row>
    <row r="43" customHeight="1" spans="2:12">
      <c r="B43" s="11"/>
      <c r="C43" s="11"/>
      <c r="D43" s="11"/>
      <c r="E43" s="11"/>
      <c r="F43" s="18"/>
      <c r="G43" s="11"/>
      <c r="H43" s="11"/>
      <c r="I43" s="11"/>
      <c r="J43" s="16"/>
      <c r="K43" s="11"/>
      <c r="L43" s="11"/>
    </row>
    <row r="44" customHeight="1" spans="2:12">
      <c r="B44" s="11"/>
      <c r="C44" s="11"/>
      <c r="D44" s="11"/>
      <c r="E44" s="11"/>
      <c r="F44" s="18"/>
      <c r="G44" s="11"/>
      <c r="H44" s="11"/>
      <c r="I44" s="11"/>
      <c r="J44" s="16"/>
      <c r="K44" s="11"/>
      <c r="L44" s="11"/>
    </row>
    <row r="45" customHeight="1" spans="2:12">
      <c r="B45" s="11"/>
      <c r="C45" s="11"/>
      <c r="D45" s="11"/>
      <c r="E45" s="11"/>
      <c r="F45" s="18"/>
      <c r="G45" s="11"/>
      <c r="H45" s="11"/>
      <c r="I45" s="11"/>
      <c r="J45" s="16"/>
      <c r="K45" s="11"/>
      <c r="L45" s="11"/>
    </row>
    <row r="46" customHeight="1" spans="2:12">
      <c r="B46" s="11"/>
      <c r="C46" s="11"/>
      <c r="D46" s="11"/>
      <c r="E46" s="11"/>
      <c r="F46" s="18"/>
      <c r="G46" s="11"/>
      <c r="H46" s="11"/>
      <c r="I46" s="11"/>
      <c r="J46" s="16"/>
      <c r="K46" s="11"/>
      <c r="L46" s="11"/>
    </row>
    <row r="47" customHeight="1" spans="2:12">
      <c r="B47" s="11"/>
      <c r="C47" s="11"/>
      <c r="D47" s="11"/>
      <c r="E47" s="11"/>
      <c r="F47" s="18"/>
      <c r="G47" s="11"/>
      <c r="H47" s="11"/>
      <c r="I47" s="11"/>
      <c r="J47" s="16"/>
      <c r="K47" s="11"/>
      <c r="L47" s="11"/>
    </row>
    <row r="48" customHeight="1" spans="2:12">
      <c r="B48" s="11"/>
      <c r="C48" s="11"/>
      <c r="D48" s="11"/>
      <c r="E48" s="11"/>
      <c r="F48" s="18"/>
      <c r="G48" s="11"/>
      <c r="H48" s="11"/>
      <c r="I48" s="11"/>
      <c r="J48" s="16"/>
      <c r="K48" s="11"/>
      <c r="L48" s="11"/>
    </row>
    <row r="49" customHeight="1" spans="2:12">
      <c r="B49" s="11"/>
      <c r="C49" s="11"/>
      <c r="D49" s="11"/>
      <c r="E49" s="11"/>
      <c r="F49" s="18"/>
      <c r="G49" s="11"/>
      <c r="H49" s="11"/>
      <c r="I49" s="11"/>
      <c r="J49" s="16"/>
      <c r="K49" s="11"/>
      <c r="L49" s="11"/>
    </row>
    <row r="50" customHeight="1" spans="2:12">
      <c r="B50" s="11"/>
      <c r="C50" s="11"/>
      <c r="D50" s="11"/>
      <c r="E50" s="11"/>
      <c r="F50" s="18"/>
      <c r="G50" s="11"/>
      <c r="H50" s="11"/>
      <c r="I50" s="11"/>
      <c r="J50" s="16"/>
      <c r="K50" s="11"/>
      <c r="L50" s="11"/>
    </row>
    <row r="51" customHeight="1" spans="2:12">
      <c r="B51" s="11"/>
      <c r="C51" s="11"/>
      <c r="D51" s="11"/>
      <c r="E51" s="11"/>
      <c r="F51" s="18"/>
      <c r="G51" s="11"/>
      <c r="H51" s="11"/>
      <c r="I51" s="11"/>
      <c r="J51" s="16"/>
      <c r="K51" s="11"/>
      <c r="L51" s="11"/>
    </row>
    <row r="52" customHeight="1" spans="2:12">
      <c r="B52" s="11"/>
      <c r="C52" s="11"/>
      <c r="D52" s="11"/>
      <c r="E52" s="11"/>
      <c r="F52" s="18"/>
      <c r="G52" s="11"/>
      <c r="H52" s="11"/>
      <c r="I52" s="11"/>
      <c r="J52" s="16"/>
      <c r="K52" s="11"/>
      <c r="L52" s="11"/>
    </row>
    <row r="53" customHeight="1" spans="2:12">
      <c r="B53" s="11"/>
      <c r="C53" s="11"/>
      <c r="D53" s="11"/>
      <c r="E53" s="11"/>
      <c r="F53" s="18"/>
      <c r="G53" s="11"/>
      <c r="H53" s="11"/>
      <c r="I53" s="11"/>
      <c r="J53" s="16"/>
      <c r="K53" s="11"/>
      <c r="L53" s="11"/>
    </row>
    <row r="54" customHeight="1" spans="2:12">
      <c r="B54" s="11"/>
      <c r="C54" s="11"/>
      <c r="D54" s="11"/>
      <c r="E54" s="11"/>
      <c r="F54" s="18"/>
      <c r="G54" s="11"/>
      <c r="H54" s="11"/>
      <c r="I54" s="11"/>
      <c r="J54" s="16"/>
      <c r="K54" s="11"/>
      <c r="L54" s="11"/>
    </row>
    <row r="55" customHeight="1" spans="2:12">
      <c r="B55" s="11"/>
      <c r="C55" s="11"/>
      <c r="D55" s="11"/>
      <c r="E55" s="11"/>
      <c r="F55" s="18"/>
      <c r="G55" s="11"/>
      <c r="H55" s="11"/>
      <c r="I55" s="11"/>
      <c r="J55" s="16"/>
      <c r="K55" s="11"/>
      <c r="L55" s="11"/>
    </row>
    <row r="56" customHeight="1" spans="2:12">
      <c r="B56" s="11"/>
      <c r="C56" s="11"/>
      <c r="D56" s="11"/>
      <c r="E56" s="11"/>
      <c r="F56" s="18"/>
      <c r="G56" s="11"/>
      <c r="H56" s="11"/>
      <c r="I56" s="11"/>
      <c r="J56" s="16"/>
      <c r="K56" s="11"/>
      <c r="L56" s="11"/>
    </row>
    <row r="57" customHeight="1" spans="2:12">
      <c r="B57" s="11"/>
      <c r="C57" s="11"/>
      <c r="D57" s="11"/>
      <c r="E57" s="11"/>
      <c r="F57" s="18"/>
      <c r="G57" s="11"/>
      <c r="H57" s="11"/>
      <c r="I57" s="11"/>
      <c r="J57" s="16"/>
      <c r="K57" s="11"/>
      <c r="L57" s="11"/>
    </row>
    <row r="58" customHeight="1" spans="2:12">
      <c r="B58" s="11"/>
      <c r="C58" s="11"/>
      <c r="D58" s="11"/>
      <c r="E58" s="11"/>
      <c r="F58" s="18"/>
      <c r="G58" s="11"/>
      <c r="H58" s="11"/>
      <c r="I58" s="11"/>
      <c r="J58" s="16"/>
      <c r="K58" s="11"/>
      <c r="L58" s="11"/>
    </row>
    <row r="59" customHeight="1" spans="2:12">
      <c r="B59" s="11"/>
      <c r="C59" s="11"/>
      <c r="D59" s="11"/>
      <c r="E59" s="11"/>
      <c r="F59" s="18"/>
      <c r="G59" s="11"/>
      <c r="H59" s="11"/>
      <c r="I59" s="11"/>
      <c r="J59" s="16"/>
      <c r="K59" s="11"/>
      <c r="L59" s="11"/>
    </row>
    <row r="60" customHeight="1" spans="2:12">
      <c r="B60" s="11"/>
      <c r="C60" s="11"/>
      <c r="D60" s="11"/>
      <c r="E60" s="11"/>
      <c r="F60" s="18"/>
      <c r="G60" s="11"/>
      <c r="H60" s="11"/>
      <c r="I60" s="11"/>
      <c r="J60" s="16"/>
      <c r="K60" s="11"/>
      <c r="L60" s="11"/>
    </row>
    <row r="61" customHeight="1" spans="2:12">
      <c r="B61" s="11"/>
      <c r="C61" s="11"/>
      <c r="D61" s="11"/>
      <c r="E61" s="11"/>
      <c r="F61" s="18"/>
      <c r="G61" s="11"/>
      <c r="H61" s="11"/>
      <c r="I61" s="11"/>
      <c r="J61" s="16"/>
      <c r="K61" s="11"/>
      <c r="L61" s="11"/>
    </row>
    <row r="62" customHeight="1" spans="2:12">
      <c r="B62" s="11"/>
      <c r="C62" s="11"/>
      <c r="D62" s="11"/>
      <c r="E62" s="11"/>
      <c r="F62" s="18"/>
      <c r="G62" s="11"/>
      <c r="H62" s="11"/>
      <c r="I62" s="11"/>
      <c r="J62" s="16"/>
      <c r="K62" s="11"/>
      <c r="L62" s="11"/>
    </row>
    <row r="63" customHeight="1" spans="2:12">
      <c r="B63" s="11"/>
      <c r="C63" s="11"/>
      <c r="D63" s="11"/>
      <c r="E63" s="11"/>
      <c r="F63" s="18"/>
      <c r="G63" s="11"/>
      <c r="H63" s="11"/>
      <c r="I63" s="11"/>
      <c r="J63" s="16"/>
      <c r="K63" s="11"/>
      <c r="L63" s="11"/>
    </row>
    <row r="64" customHeight="1" spans="2:12">
      <c r="B64" s="11"/>
      <c r="C64" s="11"/>
      <c r="D64" s="11"/>
      <c r="E64" s="11"/>
      <c r="F64" s="18"/>
      <c r="G64" s="11"/>
      <c r="H64" s="11"/>
      <c r="I64" s="11"/>
      <c r="J64" s="16"/>
      <c r="K64" s="11"/>
      <c r="L64" s="11"/>
    </row>
    <row r="65" customHeight="1" spans="2:12">
      <c r="B65" s="11"/>
      <c r="C65" s="11"/>
      <c r="D65" s="11"/>
      <c r="E65" s="11"/>
      <c r="F65" s="18"/>
      <c r="G65" s="11"/>
      <c r="H65" s="11"/>
      <c r="I65" s="11"/>
      <c r="J65" s="16"/>
      <c r="K65" s="11"/>
      <c r="L65" s="11"/>
    </row>
    <row r="66" customHeight="1" spans="2:12">
      <c r="B66" s="11"/>
      <c r="C66" s="11"/>
      <c r="D66" s="11"/>
      <c r="E66" s="11"/>
      <c r="F66" s="18"/>
      <c r="G66" s="11"/>
      <c r="H66" s="11"/>
      <c r="I66" s="11"/>
      <c r="J66" s="16"/>
      <c r="K66" s="11"/>
      <c r="L66" s="11"/>
    </row>
    <row r="67" customHeight="1" spans="2:12">
      <c r="B67" s="11"/>
      <c r="C67" s="11"/>
      <c r="D67" s="11"/>
      <c r="E67" s="11"/>
      <c r="F67" s="18"/>
      <c r="G67" s="11"/>
      <c r="H67" s="11"/>
      <c r="I67" s="11"/>
      <c r="J67" s="16"/>
      <c r="K67" s="11"/>
      <c r="L67" s="11"/>
    </row>
    <row r="68" customHeight="1" spans="2:12">
      <c r="B68" s="11"/>
      <c r="C68" s="11"/>
      <c r="D68" s="11"/>
      <c r="E68" s="11"/>
      <c r="F68" s="18"/>
      <c r="G68" s="11"/>
      <c r="H68" s="11"/>
      <c r="I68" s="11"/>
      <c r="J68" s="16"/>
      <c r="K68" s="11"/>
      <c r="L68" s="11"/>
    </row>
    <row r="69" customHeight="1" spans="2:12">
      <c r="B69" s="11"/>
      <c r="C69" s="11"/>
      <c r="D69" s="11"/>
      <c r="E69" s="11"/>
      <c r="F69" s="18"/>
      <c r="G69" s="11"/>
      <c r="H69" s="11"/>
      <c r="I69" s="11"/>
      <c r="J69" s="16"/>
      <c r="K69" s="11"/>
      <c r="L69" s="11"/>
    </row>
    <row r="70" customHeight="1" spans="2:12">
      <c r="B70" s="11"/>
      <c r="C70" s="11"/>
      <c r="D70" s="11"/>
      <c r="E70" s="11"/>
      <c r="F70" s="18"/>
      <c r="G70" s="11"/>
      <c r="H70" s="11"/>
      <c r="I70" s="11"/>
      <c r="J70" s="16"/>
      <c r="K70" s="11"/>
      <c r="L70" s="11"/>
    </row>
    <row r="71" customHeight="1" spans="2:12">
      <c r="B71" s="11"/>
      <c r="C71" s="11"/>
      <c r="D71" s="11"/>
      <c r="E71" s="11"/>
      <c r="F71" s="18"/>
      <c r="G71" s="11"/>
      <c r="H71" s="11"/>
      <c r="I71" s="11"/>
      <c r="J71" s="16"/>
      <c r="K71" s="11"/>
      <c r="L71" s="11"/>
    </row>
    <row r="72" customHeight="1" spans="2:12">
      <c r="B72" s="11"/>
      <c r="C72" s="11"/>
      <c r="D72" s="11"/>
      <c r="E72" s="11"/>
      <c r="F72" s="18"/>
      <c r="G72" s="11"/>
      <c r="H72" s="11"/>
      <c r="I72" s="11"/>
      <c r="J72" s="16"/>
      <c r="K72" s="11"/>
      <c r="L72" s="11"/>
    </row>
    <row r="73" customHeight="1" spans="2:12">
      <c r="B73" s="11"/>
      <c r="C73" s="11"/>
      <c r="D73" s="11"/>
      <c r="E73" s="11"/>
      <c r="F73" s="18"/>
      <c r="G73" s="11"/>
      <c r="H73" s="11"/>
      <c r="I73" s="11"/>
      <c r="J73" s="16"/>
      <c r="K73" s="11"/>
      <c r="L73" s="11"/>
    </row>
    <row r="74" customHeight="1" spans="2:12">
      <c r="B74" s="11"/>
      <c r="C74" s="11"/>
      <c r="D74" s="11"/>
      <c r="E74" s="11"/>
      <c r="F74" s="18"/>
      <c r="G74" s="11"/>
      <c r="H74" s="11"/>
      <c r="I74" s="11"/>
      <c r="J74" s="16"/>
      <c r="K74" s="11"/>
      <c r="L74" s="11"/>
    </row>
    <row r="75" customHeight="1" spans="2:12">
      <c r="B75" s="11"/>
      <c r="C75" s="11"/>
      <c r="D75" s="11"/>
      <c r="E75" s="11"/>
      <c r="F75" s="18"/>
      <c r="G75" s="11"/>
      <c r="H75" s="11"/>
      <c r="I75" s="11"/>
      <c r="J75" s="16"/>
      <c r="K75" s="11"/>
      <c r="L75" s="11"/>
    </row>
    <row r="76" customHeight="1" spans="2:12">
      <c r="B76" s="11"/>
      <c r="C76" s="11"/>
      <c r="D76" s="11"/>
      <c r="E76" s="11"/>
      <c r="F76" s="18"/>
      <c r="G76" s="11"/>
      <c r="H76" s="11"/>
      <c r="I76" s="11"/>
      <c r="J76" s="16"/>
      <c r="K76" s="11"/>
      <c r="L76" s="11"/>
    </row>
    <row r="77" customHeight="1" spans="2:12">
      <c r="B77" s="11"/>
      <c r="C77" s="11"/>
      <c r="D77" s="11"/>
      <c r="E77" s="11"/>
      <c r="F77" s="18"/>
      <c r="G77" s="11"/>
      <c r="H77" s="11"/>
      <c r="I77" s="11"/>
      <c r="J77" s="16"/>
      <c r="K77" s="11"/>
      <c r="L77" s="11"/>
    </row>
    <row r="78" customHeight="1" spans="2:12">
      <c r="B78" s="11"/>
      <c r="C78" s="11"/>
      <c r="D78" s="11"/>
      <c r="E78" s="11"/>
      <c r="F78" s="18"/>
      <c r="G78" s="11"/>
      <c r="H78" s="11"/>
      <c r="I78" s="11"/>
      <c r="J78" s="16"/>
      <c r="K78" s="11"/>
      <c r="L78" s="11"/>
    </row>
    <row r="79" customHeight="1" spans="2:12">
      <c r="B79" s="11"/>
      <c r="C79" s="11"/>
      <c r="D79" s="11"/>
      <c r="E79" s="11"/>
      <c r="F79" s="18"/>
      <c r="G79" s="11"/>
      <c r="H79" s="11"/>
      <c r="I79" s="11"/>
      <c r="J79" s="16"/>
      <c r="K79" s="11"/>
      <c r="L79" s="11"/>
    </row>
    <row r="80" customHeight="1" spans="2:12">
      <c r="B80" s="11"/>
      <c r="C80" s="11"/>
      <c r="D80" s="11"/>
      <c r="E80" s="11"/>
      <c r="F80" s="18"/>
      <c r="G80" s="11"/>
      <c r="H80" s="11"/>
      <c r="I80" s="11"/>
      <c r="J80" s="16"/>
      <c r="K80" s="11"/>
      <c r="L80" s="11"/>
    </row>
    <row r="81" customHeight="1" spans="2:12">
      <c r="B81" s="11"/>
      <c r="C81" s="11"/>
      <c r="D81" s="11"/>
      <c r="E81" s="11"/>
      <c r="F81" s="18"/>
      <c r="G81" s="11"/>
      <c r="H81" s="11"/>
      <c r="I81" s="11"/>
      <c r="J81" s="16"/>
      <c r="K81" s="11"/>
      <c r="L81" s="11"/>
    </row>
    <row r="82" customHeight="1" spans="2:12">
      <c r="B82" s="11"/>
      <c r="C82" s="11"/>
      <c r="D82" s="11"/>
      <c r="E82" s="11"/>
      <c r="F82" s="18"/>
      <c r="G82" s="11"/>
      <c r="H82" s="11"/>
      <c r="I82" s="11"/>
      <c r="J82" s="16"/>
      <c r="K82" s="11"/>
      <c r="L82" s="11"/>
    </row>
    <row r="83" customHeight="1" spans="2:12">
      <c r="B83" s="11"/>
      <c r="C83" s="11"/>
      <c r="D83" s="11"/>
      <c r="E83" s="11"/>
      <c r="F83" s="18"/>
      <c r="G83" s="11"/>
      <c r="H83" s="11"/>
      <c r="I83" s="11"/>
      <c r="J83" s="16"/>
      <c r="K83" s="11"/>
      <c r="L83" s="11"/>
    </row>
    <row r="84" customHeight="1" spans="2:12">
      <c r="B84" s="11"/>
      <c r="C84" s="11"/>
      <c r="D84" s="11"/>
      <c r="E84" s="11"/>
      <c r="F84" s="18"/>
      <c r="G84" s="11"/>
      <c r="H84" s="11"/>
      <c r="I84" s="11"/>
      <c r="J84" s="16"/>
      <c r="K84" s="11"/>
      <c r="L84" s="11"/>
    </row>
    <row r="85" customHeight="1" spans="2:12">
      <c r="B85" s="11"/>
      <c r="C85" s="11"/>
      <c r="D85" s="11"/>
      <c r="E85" s="11"/>
      <c r="F85" s="18"/>
      <c r="G85" s="11"/>
      <c r="H85" s="11"/>
      <c r="I85" s="11"/>
      <c r="J85" s="16"/>
      <c r="K85" s="11"/>
      <c r="L85" s="11"/>
    </row>
    <row r="86" customHeight="1" spans="2:12">
      <c r="B86" s="11"/>
      <c r="C86" s="11"/>
      <c r="D86" s="11"/>
      <c r="E86" s="11"/>
      <c r="F86" s="18"/>
      <c r="G86" s="11"/>
      <c r="H86" s="11"/>
      <c r="I86" s="11"/>
      <c r="J86" s="16"/>
      <c r="K86" s="11"/>
      <c r="L86" s="11"/>
    </row>
    <row r="87" customHeight="1" spans="2:12">
      <c r="B87" s="11"/>
      <c r="C87" s="11"/>
      <c r="D87" s="11"/>
      <c r="E87" s="11"/>
      <c r="F87" s="18"/>
      <c r="G87" s="11"/>
      <c r="H87" s="11"/>
      <c r="I87" s="11"/>
      <c r="J87" s="16"/>
      <c r="K87" s="11"/>
      <c r="L87" s="11"/>
    </row>
    <row r="88" customHeight="1" spans="2:12">
      <c r="B88" s="11"/>
      <c r="C88" s="11"/>
      <c r="D88" s="11"/>
      <c r="E88" s="11"/>
      <c r="F88" s="18"/>
      <c r="G88" s="11"/>
      <c r="H88" s="11"/>
      <c r="I88" s="11"/>
      <c r="J88" s="16"/>
      <c r="K88" s="11"/>
      <c r="L88" s="11"/>
    </row>
    <row r="89" customHeight="1" spans="2:12">
      <c r="B89" s="11"/>
      <c r="C89" s="11"/>
      <c r="D89" s="11"/>
      <c r="E89" s="11"/>
      <c r="F89" s="18"/>
      <c r="G89" s="11"/>
      <c r="H89" s="11"/>
      <c r="I89" s="11"/>
      <c r="J89" s="16"/>
      <c r="K89" s="11"/>
      <c r="L89" s="11"/>
    </row>
    <row r="90" customHeight="1" spans="2:12">
      <c r="B90" s="11"/>
      <c r="C90" s="11"/>
      <c r="D90" s="11"/>
      <c r="E90" s="11"/>
      <c r="F90" s="18"/>
      <c r="G90" s="11"/>
      <c r="H90" s="11"/>
      <c r="I90" s="11"/>
      <c r="J90" s="16"/>
      <c r="K90" s="11"/>
      <c r="L90" s="11"/>
    </row>
    <row r="91" customHeight="1" spans="2:12">
      <c r="B91" s="11"/>
      <c r="C91" s="11"/>
      <c r="D91" s="11"/>
      <c r="E91" s="11"/>
      <c r="F91" s="18"/>
      <c r="G91" s="11"/>
      <c r="H91" s="11"/>
      <c r="I91" s="11"/>
      <c r="J91" s="16"/>
      <c r="K91" s="11"/>
      <c r="L91" s="11"/>
    </row>
    <row r="92" customHeight="1" spans="2:12">
      <c r="B92" s="11"/>
      <c r="C92" s="11"/>
      <c r="D92" s="11"/>
      <c r="E92" s="11"/>
      <c r="F92" s="18"/>
      <c r="G92" s="11"/>
      <c r="H92" s="11"/>
      <c r="I92" s="11"/>
      <c r="J92" s="16"/>
      <c r="K92" s="11"/>
      <c r="L92" s="11"/>
    </row>
    <row r="93" customHeight="1" spans="2:12">
      <c r="B93" s="11"/>
      <c r="C93" s="11"/>
      <c r="D93" s="11"/>
      <c r="E93" s="11"/>
      <c r="F93" s="18"/>
      <c r="G93" s="11"/>
      <c r="H93" s="11"/>
      <c r="I93" s="11"/>
      <c r="J93" s="16"/>
      <c r="K93" s="11"/>
      <c r="L93" s="11"/>
    </row>
    <row r="94" customHeight="1" spans="2:12">
      <c r="B94" s="11"/>
      <c r="C94" s="11"/>
      <c r="D94" s="11"/>
      <c r="E94" s="11"/>
      <c r="F94" s="18"/>
      <c r="G94" s="11"/>
      <c r="H94" s="11"/>
      <c r="I94" s="11"/>
      <c r="J94" s="16"/>
      <c r="K94" s="11"/>
      <c r="L94" s="11"/>
    </row>
    <row r="95" customHeight="1" spans="2:12">
      <c r="B95" s="11"/>
      <c r="C95" s="11"/>
      <c r="D95" s="11"/>
      <c r="E95" s="11"/>
      <c r="F95" s="18"/>
      <c r="G95" s="11"/>
      <c r="H95" s="11"/>
      <c r="I95" s="11"/>
      <c r="J95" s="16"/>
      <c r="K95" s="11"/>
      <c r="L95" s="11"/>
    </row>
    <row r="96" customHeight="1" spans="2:12">
      <c r="B96" s="11"/>
      <c r="C96" s="11"/>
      <c r="D96" s="11"/>
      <c r="E96" s="11"/>
      <c r="F96" s="18"/>
      <c r="G96" s="11"/>
      <c r="H96" s="11"/>
      <c r="I96" s="11"/>
      <c r="J96" s="16"/>
      <c r="K96" s="11"/>
      <c r="L96" s="11"/>
    </row>
    <row r="97" customHeight="1" spans="2:12">
      <c r="B97" s="11"/>
      <c r="C97" s="11"/>
      <c r="D97" s="11"/>
      <c r="E97" s="11"/>
      <c r="F97" s="18"/>
      <c r="G97" s="11"/>
      <c r="H97" s="11"/>
      <c r="I97" s="11"/>
      <c r="J97" s="16"/>
      <c r="K97" s="11"/>
      <c r="L97" s="11"/>
    </row>
    <row r="98" customHeight="1" spans="2:12">
      <c r="B98" s="11"/>
      <c r="C98" s="11"/>
      <c r="D98" s="11"/>
      <c r="E98" s="11"/>
      <c r="F98" s="18"/>
      <c r="G98" s="11"/>
      <c r="H98" s="11"/>
      <c r="I98" s="11"/>
      <c r="J98" s="16"/>
      <c r="K98" s="11"/>
      <c r="L98" s="11"/>
    </row>
    <row r="99" customHeight="1" spans="2:12">
      <c r="B99" s="11"/>
      <c r="C99" s="11"/>
      <c r="D99" s="11"/>
      <c r="E99" s="11"/>
      <c r="F99" s="18"/>
      <c r="G99" s="11"/>
      <c r="H99" s="11"/>
      <c r="I99" s="11"/>
      <c r="J99" s="16"/>
      <c r="K99" s="11"/>
      <c r="L99" s="11"/>
    </row>
    <row r="100" customHeight="1" spans="2:12">
      <c r="B100" s="11"/>
      <c r="C100" s="11"/>
      <c r="D100" s="11"/>
      <c r="E100" s="11"/>
      <c r="F100" s="18"/>
      <c r="G100" s="11"/>
      <c r="H100" s="11"/>
      <c r="I100" s="11"/>
      <c r="J100" s="16"/>
      <c r="K100" s="11"/>
      <c r="L100" s="11"/>
    </row>
    <row r="101" customHeight="1" spans="2:12">
      <c r="B101" s="11"/>
      <c r="C101" s="11"/>
      <c r="D101" s="11"/>
      <c r="E101" s="11"/>
      <c r="F101" s="18"/>
      <c r="G101" s="11"/>
      <c r="H101" s="11"/>
      <c r="I101" s="11"/>
      <c r="J101" s="16"/>
      <c r="K101" s="11"/>
      <c r="L101" s="11"/>
    </row>
    <row r="102" customHeight="1" spans="2:12">
      <c r="B102" s="11"/>
      <c r="C102" s="11"/>
      <c r="D102" s="11"/>
      <c r="E102" s="11"/>
      <c r="F102" s="18"/>
      <c r="G102" s="11"/>
      <c r="H102" s="11"/>
      <c r="I102" s="11"/>
      <c r="J102" s="16"/>
      <c r="K102" s="11"/>
      <c r="L102" s="11"/>
    </row>
    <row r="103" customHeight="1" spans="2:12">
      <c r="B103" s="11"/>
      <c r="C103" s="11"/>
      <c r="D103" s="11"/>
      <c r="E103" s="11"/>
      <c r="F103" s="18"/>
      <c r="G103" s="11"/>
      <c r="H103" s="11"/>
      <c r="I103" s="11"/>
      <c r="J103" s="16"/>
      <c r="K103" s="11"/>
      <c r="L103" s="11"/>
    </row>
    <row r="104" customHeight="1" spans="2:12">
      <c r="B104" s="11"/>
      <c r="C104" s="11"/>
      <c r="D104" s="11"/>
      <c r="E104" s="11"/>
      <c r="F104" s="18"/>
      <c r="G104" s="11"/>
      <c r="H104" s="11"/>
      <c r="I104" s="11"/>
      <c r="J104" s="16"/>
      <c r="K104" s="11"/>
      <c r="L104" s="11"/>
    </row>
    <row r="105" customHeight="1" spans="2:12">
      <c r="B105" s="11"/>
      <c r="C105" s="11"/>
      <c r="D105" s="11"/>
      <c r="E105" s="11"/>
      <c r="F105" s="18"/>
      <c r="G105" s="11"/>
      <c r="H105" s="11"/>
      <c r="I105" s="11"/>
      <c r="J105" s="16"/>
      <c r="K105" s="11"/>
      <c r="L105" s="11"/>
    </row>
  </sheetData>
  <mergeCells count="1">
    <mergeCell ref="B2:K2"/>
  </mergeCells>
  <dataValidations count="4">
    <dataValidation type="list" allowBlank="1" showErrorMessage="1" sqref="E6:E105">
      <formula1>"Male,Female"</formula1>
    </dataValidation>
    <dataValidation type="list" allowBlank="1" showErrorMessage="1" sqref="G6:G105">
      <formula1>"Teacher,Administrator,Support Staff"</formula1>
    </dataValidation>
    <dataValidation type="list" allowBlank="1" showErrorMessage="1" sqref="I6:I105">
      <formula1>"Full-Time,Part-Time,Contract"</formula1>
    </dataValidation>
    <dataValidation type="list" allowBlank="1" showErrorMessage="1" sqref="K6:K105">
      <formula1>"Active,On Leave,Inactive"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H205"/>
  <sheetViews>
    <sheetView showGridLines="0" workbookViewId="0">
      <pane ySplit="5" topLeftCell="A6" activePane="bottomLeft" state="frozen"/>
      <selection/>
      <selection pane="bottomLeft" activeCell="B7" sqref="B7"/>
    </sheetView>
  </sheetViews>
  <sheetFormatPr defaultColWidth="12.6285714285714" defaultRowHeight="15.75" customHeight="1" outlineLevelCol="7"/>
  <cols>
    <col min="2" max="2" width="38.1333333333333" customWidth="1"/>
    <col min="3" max="3" width="9.38095238095238" customWidth="1"/>
    <col min="4" max="4" width="10.8761904761905" customWidth="1"/>
    <col min="5" max="5" width="7.38095238095238" customWidth="1"/>
    <col min="6" max="6" width="8.38095238095238" customWidth="1"/>
    <col min="7" max="7" width="9.5047619047619" customWidth="1"/>
    <col min="8" max="8" width="8.38095238095238" customWidth="1"/>
  </cols>
  <sheetData>
    <row r="2" customHeight="1" spans="2:8">
      <c r="B2" s="5" t="s">
        <v>483</v>
      </c>
    </row>
    <row r="3" customHeight="1" spans="2:8">
      <c r="B3" s="6" t="s">
        <v>484</v>
      </c>
      <c r="C3" s="6">
        <f>COUNTA(B6:B205)</f>
        <v>0</v>
      </c>
      <c r="D3" s="7" t="s">
        <v>485</v>
      </c>
      <c r="E3" s="8">
        <f>SUM(G6:G205)</f>
        <v>0</v>
      </c>
      <c r="F3" s="9"/>
      <c r="G3" s="9"/>
      <c r="H3" s="9"/>
    </row>
    <row r="5" customHeight="1" spans="2:8">
      <c r="B5" s="10" t="s">
        <v>486</v>
      </c>
      <c r="C5" s="10" t="s">
        <v>487</v>
      </c>
      <c r="D5" s="10" t="s">
        <v>488</v>
      </c>
      <c r="E5" s="10" t="s">
        <v>489</v>
      </c>
      <c r="F5" s="10" t="s">
        <v>490</v>
      </c>
      <c r="G5" s="10" t="s">
        <v>491</v>
      </c>
      <c r="H5" s="10" t="s">
        <v>492</v>
      </c>
    </row>
    <row r="6" customHeight="1" spans="2:8">
      <c r="B6" s="11"/>
      <c r="C6" s="11"/>
      <c r="D6" s="11"/>
      <c r="E6" s="11"/>
      <c r="F6" s="12"/>
      <c r="G6" s="12" t="str">
        <f t="array" ref="G6:G205">IF(ISNUMBER(E6:E205)*ISNUMBER(F6:F205),E6:E205*F6:F205,"")</f>
        <v/>
      </c>
      <c r="H6" s="11"/>
    </row>
    <row r="7" customHeight="1" spans="2:8">
      <c r="B7" s="11"/>
      <c r="C7" s="11"/>
      <c r="D7" s="11"/>
      <c r="E7" s="11"/>
      <c r="F7" s="12"/>
      <c r="G7" s="12" t="str">
        <v/>
      </c>
      <c r="H7" s="11"/>
    </row>
    <row r="8" customHeight="1" spans="2:8">
      <c r="B8" s="11"/>
      <c r="C8" s="11"/>
      <c r="D8" s="11"/>
      <c r="E8" s="11"/>
      <c r="F8" s="12"/>
      <c r="G8" s="12" t="str">
        <v/>
      </c>
      <c r="H8" s="11"/>
    </row>
    <row r="9" customHeight="1" spans="2:8">
      <c r="B9" s="11"/>
      <c r="C9" s="11"/>
      <c r="D9" s="11"/>
      <c r="E9" s="11"/>
      <c r="F9" s="12"/>
      <c r="G9" s="12" t="str">
        <v/>
      </c>
      <c r="H9" s="11"/>
    </row>
    <row r="10" customHeight="1" spans="2:8">
      <c r="B10" s="11"/>
      <c r="C10" s="11"/>
      <c r="D10" s="11"/>
      <c r="E10" s="11"/>
      <c r="F10" s="12"/>
      <c r="G10" s="12" t="str">
        <v/>
      </c>
      <c r="H10" s="11"/>
    </row>
    <row r="11" customHeight="1" spans="2:8">
      <c r="B11" s="11"/>
      <c r="C11" s="11"/>
      <c r="D11" s="11"/>
      <c r="E11" s="11"/>
      <c r="F11" s="12"/>
      <c r="G11" s="12" t="str">
        <v/>
      </c>
      <c r="H11" s="11"/>
    </row>
    <row r="12" customHeight="1" spans="2:8">
      <c r="B12" s="11"/>
      <c r="C12" s="11"/>
      <c r="D12" s="11"/>
      <c r="E12" s="11"/>
      <c r="F12" s="12"/>
      <c r="G12" s="12" t="str">
        <v/>
      </c>
      <c r="H12" s="11"/>
    </row>
    <row r="13" customHeight="1" spans="2:8">
      <c r="B13" s="11"/>
      <c r="C13" s="11"/>
      <c r="D13" s="11"/>
      <c r="E13" s="11"/>
      <c r="F13" s="12"/>
      <c r="G13" s="12" t="str">
        <v/>
      </c>
      <c r="H13" s="11"/>
    </row>
    <row r="14" customHeight="1" spans="2:8">
      <c r="B14" s="11"/>
      <c r="C14" s="11"/>
      <c r="D14" s="11"/>
      <c r="E14" s="11"/>
      <c r="F14" s="12"/>
      <c r="G14" s="12" t="str">
        <v/>
      </c>
      <c r="H14" s="11"/>
    </row>
    <row r="15" customHeight="1" spans="2:8">
      <c r="B15" s="11"/>
      <c r="C15" s="11"/>
      <c r="D15" s="11"/>
      <c r="E15" s="11"/>
      <c r="F15" s="12"/>
      <c r="G15" s="12" t="str">
        <v/>
      </c>
      <c r="H15" s="11"/>
    </row>
    <row r="16" customHeight="1" spans="2:8">
      <c r="B16" s="11"/>
      <c r="C16" s="11"/>
      <c r="D16" s="11"/>
      <c r="E16" s="11"/>
      <c r="F16" s="12"/>
      <c r="G16" s="12" t="str">
        <v/>
      </c>
      <c r="H16" s="11"/>
    </row>
    <row r="17" customHeight="1" spans="2:8">
      <c r="B17" s="11"/>
      <c r="C17" s="11"/>
      <c r="D17" s="11"/>
      <c r="E17" s="11"/>
      <c r="F17" s="12"/>
      <c r="G17" s="12" t="str">
        <v/>
      </c>
      <c r="H17" s="11"/>
    </row>
    <row r="18" customHeight="1" spans="2:8">
      <c r="B18" s="11"/>
      <c r="C18" s="11"/>
      <c r="D18" s="11"/>
      <c r="E18" s="11"/>
      <c r="F18" s="12"/>
      <c r="G18" s="12" t="str">
        <v/>
      </c>
      <c r="H18" s="11"/>
    </row>
    <row r="19" customHeight="1" spans="2:8">
      <c r="B19" s="11"/>
      <c r="C19" s="11"/>
      <c r="D19" s="11"/>
      <c r="E19" s="11"/>
      <c r="F19" s="12"/>
      <c r="G19" s="12" t="str">
        <v/>
      </c>
      <c r="H19" s="11"/>
    </row>
    <row r="20" customHeight="1" spans="2:8">
      <c r="B20" s="11"/>
      <c r="C20" s="11"/>
      <c r="D20" s="11"/>
      <c r="E20" s="11"/>
      <c r="F20" s="12"/>
      <c r="G20" s="12" t="str">
        <v/>
      </c>
      <c r="H20" s="11"/>
    </row>
    <row r="21" customHeight="1" spans="2:8">
      <c r="B21" s="11"/>
      <c r="C21" s="11"/>
      <c r="D21" s="11"/>
      <c r="E21" s="11"/>
      <c r="F21" s="12"/>
      <c r="G21" s="12" t="str">
        <v/>
      </c>
      <c r="H21" s="11"/>
    </row>
    <row r="22" customHeight="1" spans="2:8">
      <c r="B22" s="11"/>
      <c r="C22" s="11"/>
      <c r="D22" s="11"/>
      <c r="E22" s="11"/>
      <c r="F22" s="12"/>
      <c r="G22" s="12" t="str">
        <v/>
      </c>
      <c r="H22" s="11"/>
    </row>
    <row r="23" customHeight="1" spans="2:8">
      <c r="B23" s="11"/>
      <c r="C23" s="11"/>
      <c r="D23" s="11"/>
      <c r="E23" s="11"/>
      <c r="F23" s="12"/>
      <c r="G23" s="12" t="str">
        <v/>
      </c>
      <c r="H23" s="11"/>
    </row>
    <row r="24" customHeight="1" spans="2:8">
      <c r="B24" s="11"/>
      <c r="C24" s="11"/>
      <c r="D24" s="11"/>
      <c r="E24" s="11"/>
      <c r="F24" s="12"/>
      <c r="G24" s="12" t="str">
        <v/>
      </c>
      <c r="H24" s="11"/>
    </row>
    <row r="25" customHeight="1" spans="2:8">
      <c r="B25" s="11"/>
      <c r="C25" s="11"/>
      <c r="D25" s="11"/>
      <c r="E25" s="11"/>
      <c r="F25" s="12"/>
      <c r="G25" s="12" t="str">
        <v/>
      </c>
      <c r="H25" s="11"/>
    </row>
    <row r="26" customHeight="1" spans="2:8">
      <c r="B26" s="11"/>
      <c r="C26" s="11"/>
      <c r="D26" s="11"/>
      <c r="E26" s="11"/>
      <c r="F26" s="12"/>
      <c r="G26" s="12" t="str">
        <v/>
      </c>
      <c r="H26" s="11"/>
    </row>
    <row r="27" customHeight="1" spans="2:8">
      <c r="B27" s="11"/>
      <c r="C27" s="11"/>
      <c r="D27" s="11"/>
      <c r="E27" s="11"/>
      <c r="F27" s="12"/>
      <c r="G27" s="12" t="str">
        <v/>
      </c>
      <c r="H27" s="11"/>
    </row>
    <row r="28" customHeight="1" spans="2:8">
      <c r="B28" s="11"/>
      <c r="C28" s="11"/>
      <c r="D28" s="11"/>
      <c r="E28" s="11"/>
      <c r="F28" s="12"/>
      <c r="G28" s="12" t="str">
        <v/>
      </c>
      <c r="H28" s="11"/>
    </row>
    <row r="29" customHeight="1" spans="2:8">
      <c r="B29" s="11"/>
      <c r="C29" s="11"/>
      <c r="D29" s="11"/>
      <c r="E29" s="11"/>
      <c r="F29" s="12"/>
      <c r="G29" s="12" t="str">
        <v/>
      </c>
      <c r="H29" s="11"/>
    </row>
    <row r="30" customHeight="1" spans="2:8">
      <c r="B30" s="11"/>
      <c r="C30" s="11"/>
      <c r="D30" s="11"/>
      <c r="E30" s="11"/>
      <c r="F30" s="12"/>
      <c r="G30" s="12" t="str">
        <v/>
      </c>
      <c r="H30" s="11"/>
    </row>
    <row r="31" customHeight="1" spans="2:8">
      <c r="B31" s="11"/>
      <c r="C31" s="11"/>
      <c r="D31" s="11"/>
      <c r="E31" s="11"/>
      <c r="F31" s="12"/>
      <c r="G31" s="12" t="str">
        <v/>
      </c>
      <c r="H31" s="11"/>
    </row>
    <row r="32" customHeight="1" spans="2:8">
      <c r="B32" s="11"/>
      <c r="C32" s="11"/>
      <c r="D32" s="11"/>
      <c r="E32" s="11"/>
      <c r="F32" s="12"/>
      <c r="G32" s="12" t="str">
        <v/>
      </c>
      <c r="H32" s="11"/>
    </row>
    <row r="33" customHeight="1" spans="2:8">
      <c r="B33" s="11"/>
      <c r="C33" s="11"/>
      <c r="D33" s="11"/>
      <c r="E33" s="11"/>
      <c r="F33" s="12"/>
      <c r="G33" s="12" t="str">
        <v/>
      </c>
      <c r="H33" s="11"/>
    </row>
    <row r="34" customHeight="1" spans="2:8">
      <c r="B34" s="11"/>
      <c r="C34" s="11"/>
      <c r="D34" s="11"/>
      <c r="E34" s="11"/>
      <c r="F34" s="12"/>
      <c r="G34" s="12" t="str">
        <v/>
      </c>
      <c r="H34" s="11"/>
    </row>
    <row r="35" customHeight="1" spans="2:8">
      <c r="B35" s="11"/>
      <c r="C35" s="11"/>
      <c r="D35" s="11"/>
      <c r="E35" s="11"/>
      <c r="F35" s="12"/>
      <c r="G35" s="12" t="str">
        <v/>
      </c>
      <c r="H35" s="11"/>
    </row>
    <row r="36" customHeight="1" spans="2:8">
      <c r="B36" s="11"/>
      <c r="C36" s="11"/>
      <c r="D36" s="11"/>
      <c r="E36" s="11"/>
      <c r="F36" s="12"/>
      <c r="G36" s="12" t="str">
        <v/>
      </c>
      <c r="H36" s="11"/>
    </row>
    <row r="37" customHeight="1" spans="2:8">
      <c r="B37" s="11"/>
      <c r="C37" s="11"/>
      <c r="D37" s="11"/>
      <c r="E37" s="11"/>
      <c r="F37" s="12"/>
      <c r="G37" s="12" t="str">
        <v/>
      </c>
      <c r="H37" s="11"/>
    </row>
    <row r="38" customHeight="1" spans="2:8">
      <c r="B38" s="11"/>
      <c r="C38" s="11"/>
      <c r="D38" s="11"/>
      <c r="E38" s="11"/>
      <c r="F38" s="12"/>
      <c r="G38" s="12" t="str">
        <v/>
      </c>
      <c r="H38" s="11"/>
    </row>
    <row r="39" customHeight="1" spans="2:8">
      <c r="B39" s="11"/>
      <c r="C39" s="11"/>
      <c r="D39" s="11"/>
      <c r="E39" s="11"/>
      <c r="F39" s="12"/>
      <c r="G39" s="12" t="str">
        <v/>
      </c>
      <c r="H39" s="11"/>
    </row>
    <row r="40" customHeight="1" spans="2:8">
      <c r="B40" s="11"/>
      <c r="C40" s="11"/>
      <c r="D40" s="11"/>
      <c r="E40" s="11"/>
      <c r="F40" s="12"/>
      <c r="G40" s="12" t="str">
        <v/>
      </c>
      <c r="H40" s="11"/>
    </row>
    <row r="41" customHeight="1" spans="2:8">
      <c r="B41" s="11"/>
      <c r="C41" s="11"/>
      <c r="D41" s="11"/>
      <c r="E41" s="11"/>
      <c r="F41" s="12"/>
      <c r="G41" s="12" t="str">
        <v/>
      </c>
      <c r="H41" s="11"/>
    </row>
    <row r="42" customHeight="1" spans="2:8">
      <c r="B42" s="11"/>
      <c r="C42" s="11"/>
      <c r="D42" s="11"/>
      <c r="E42" s="11"/>
      <c r="F42" s="12"/>
      <c r="G42" s="12" t="str">
        <v/>
      </c>
      <c r="H42" s="11"/>
    </row>
    <row r="43" customHeight="1" spans="2:8">
      <c r="B43" s="11"/>
      <c r="C43" s="11"/>
      <c r="D43" s="11"/>
      <c r="E43" s="11"/>
      <c r="F43" s="12"/>
      <c r="G43" s="12" t="str">
        <v/>
      </c>
      <c r="H43" s="11"/>
    </row>
    <row r="44" customHeight="1" spans="2:8">
      <c r="B44" s="11"/>
      <c r="C44" s="11"/>
      <c r="D44" s="11"/>
      <c r="E44" s="11"/>
      <c r="F44" s="12"/>
      <c r="G44" s="12" t="str">
        <v/>
      </c>
      <c r="H44" s="11"/>
    </row>
    <row r="45" customHeight="1" spans="2:8">
      <c r="B45" s="11"/>
      <c r="C45" s="11"/>
      <c r="D45" s="11"/>
      <c r="E45" s="11"/>
      <c r="F45" s="12"/>
      <c r="G45" s="12" t="str">
        <v/>
      </c>
      <c r="H45" s="11"/>
    </row>
    <row r="46" customHeight="1" spans="2:8">
      <c r="B46" s="11"/>
      <c r="C46" s="11"/>
      <c r="D46" s="11"/>
      <c r="E46" s="11"/>
      <c r="F46" s="12"/>
      <c r="G46" s="12" t="str">
        <v/>
      </c>
      <c r="H46" s="11"/>
    </row>
    <row r="47" customHeight="1" spans="2:8">
      <c r="B47" s="11"/>
      <c r="C47" s="11"/>
      <c r="D47" s="11"/>
      <c r="E47" s="11"/>
      <c r="F47" s="12"/>
      <c r="G47" s="12" t="str">
        <v/>
      </c>
      <c r="H47" s="11"/>
    </row>
    <row r="48" customHeight="1" spans="2:8">
      <c r="B48" s="11"/>
      <c r="C48" s="11"/>
      <c r="D48" s="11"/>
      <c r="E48" s="11"/>
      <c r="F48" s="12"/>
      <c r="G48" s="12" t="str">
        <v/>
      </c>
      <c r="H48" s="11"/>
    </row>
    <row r="49" customHeight="1" spans="2:8">
      <c r="B49" s="11"/>
      <c r="C49" s="11"/>
      <c r="D49" s="11"/>
      <c r="E49" s="11"/>
      <c r="F49" s="12"/>
      <c r="G49" s="12" t="str">
        <v/>
      </c>
      <c r="H49" s="11"/>
    </row>
    <row r="50" customHeight="1" spans="2:8">
      <c r="B50" s="11"/>
      <c r="C50" s="11"/>
      <c r="D50" s="11"/>
      <c r="E50" s="11"/>
      <c r="F50" s="12"/>
      <c r="G50" s="12" t="str">
        <v/>
      </c>
      <c r="H50" s="11"/>
    </row>
    <row r="51" customHeight="1" spans="2:8">
      <c r="B51" s="11"/>
      <c r="C51" s="11"/>
      <c r="D51" s="11"/>
      <c r="E51" s="11"/>
      <c r="F51" s="12"/>
      <c r="G51" s="12" t="str">
        <v/>
      </c>
      <c r="H51" s="11"/>
    </row>
    <row r="52" customHeight="1" spans="2:8">
      <c r="B52" s="11"/>
      <c r="C52" s="11"/>
      <c r="D52" s="11"/>
      <c r="E52" s="11"/>
      <c r="F52" s="12"/>
      <c r="G52" s="12" t="str">
        <v/>
      </c>
      <c r="H52" s="11"/>
    </row>
    <row r="53" customHeight="1" spans="2:8">
      <c r="B53" s="11"/>
      <c r="C53" s="11"/>
      <c r="D53" s="11"/>
      <c r="E53" s="11"/>
      <c r="F53" s="12"/>
      <c r="G53" s="12" t="str">
        <v/>
      </c>
      <c r="H53" s="11"/>
    </row>
    <row r="54" customHeight="1" spans="2:8">
      <c r="B54" s="11"/>
      <c r="C54" s="11"/>
      <c r="D54" s="11"/>
      <c r="E54" s="11"/>
      <c r="F54" s="12"/>
      <c r="G54" s="12" t="str">
        <v/>
      </c>
      <c r="H54" s="11"/>
    </row>
    <row r="55" customHeight="1" spans="2:8">
      <c r="B55" s="11"/>
      <c r="C55" s="11"/>
      <c r="D55" s="11"/>
      <c r="E55" s="11"/>
      <c r="F55" s="12"/>
      <c r="G55" s="12" t="str">
        <v/>
      </c>
      <c r="H55" s="11"/>
    </row>
    <row r="56" customHeight="1" spans="2:8">
      <c r="B56" s="11"/>
      <c r="C56" s="11"/>
      <c r="D56" s="11"/>
      <c r="E56" s="11"/>
      <c r="F56" s="12"/>
      <c r="G56" s="12" t="str">
        <v/>
      </c>
      <c r="H56" s="11"/>
    </row>
    <row r="57" customHeight="1" spans="2:8">
      <c r="B57" s="11"/>
      <c r="C57" s="11"/>
      <c r="D57" s="11"/>
      <c r="E57" s="11"/>
      <c r="F57" s="12"/>
      <c r="G57" s="12" t="str">
        <v/>
      </c>
      <c r="H57" s="11"/>
    </row>
    <row r="58" customHeight="1" spans="2:8">
      <c r="B58" s="11"/>
      <c r="C58" s="11"/>
      <c r="D58" s="11"/>
      <c r="E58" s="11"/>
      <c r="F58" s="12"/>
      <c r="G58" s="12" t="str">
        <v/>
      </c>
      <c r="H58" s="11"/>
    </row>
    <row r="59" customHeight="1" spans="2:8">
      <c r="B59" s="11"/>
      <c r="C59" s="11"/>
      <c r="D59" s="11"/>
      <c r="E59" s="11"/>
      <c r="F59" s="12"/>
      <c r="G59" s="12" t="str">
        <v/>
      </c>
      <c r="H59" s="11"/>
    </row>
    <row r="60" customHeight="1" spans="2:8">
      <c r="B60" s="11"/>
      <c r="C60" s="11"/>
      <c r="D60" s="11"/>
      <c r="E60" s="11"/>
      <c r="F60" s="12"/>
      <c r="G60" s="12" t="str">
        <v/>
      </c>
      <c r="H60" s="11"/>
    </row>
    <row r="61" customHeight="1" spans="2:8">
      <c r="B61" s="11"/>
      <c r="C61" s="11"/>
      <c r="D61" s="11"/>
      <c r="E61" s="11"/>
      <c r="F61" s="12"/>
      <c r="G61" s="12" t="str">
        <v/>
      </c>
      <c r="H61" s="11"/>
    </row>
    <row r="62" customHeight="1" spans="2:8">
      <c r="B62" s="11"/>
      <c r="C62" s="11"/>
      <c r="D62" s="11"/>
      <c r="E62" s="11"/>
      <c r="F62" s="12"/>
      <c r="G62" s="12" t="str">
        <v/>
      </c>
      <c r="H62" s="11"/>
    </row>
    <row r="63" customHeight="1" spans="2:8">
      <c r="B63" s="11"/>
      <c r="C63" s="11"/>
      <c r="D63" s="11"/>
      <c r="E63" s="11"/>
      <c r="F63" s="12"/>
      <c r="G63" s="12" t="str">
        <v/>
      </c>
      <c r="H63" s="11"/>
    </row>
    <row r="64" customHeight="1" spans="2:8">
      <c r="B64" s="11"/>
      <c r="C64" s="11"/>
      <c r="D64" s="11"/>
      <c r="E64" s="11"/>
      <c r="F64" s="12"/>
      <c r="G64" s="12" t="str">
        <v/>
      </c>
      <c r="H64" s="11"/>
    </row>
    <row r="65" customHeight="1" spans="2:8">
      <c r="B65" s="11"/>
      <c r="C65" s="11"/>
      <c r="D65" s="11"/>
      <c r="E65" s="11"/>
      <c r="F65" s="12"/>
      <c r="G65" s="12" t="str">
        <v/>
      </c>
      <c r="H65" s="11"/>
    </row>
    <row r="66" customHeight="1" spans="2:8">
      <c r="B66" s="11"/>
      <c r="C66" s="11"/>
      <c r="D66" s="11"/>
      <c r="E66" s="11"/>
      <c r="F66" s="12"/>
      <c r="G66" s="12" t="str">
        <v/>
      </c>
      <c r="H66" s="11"/>
    </row>
    <row r="67" customHeight="1" spans="2:8">
      <c r="B67" s="11"/>
      <c r="C67" s="11"/>
      <c r="D67" s="11"/>
      <c r="E67" s="11"/>
      <c r="F67" s="12"/>
      <c r="G67" s="12" t="str">
        <v/>
      </c>
      <c r="H67" s="11"/>
    </row>
    <row r="68" customHeight="1" spans="2:8">
      <c r="B68" s="11"/>
      <c r="C68" s="11"/>
      <c r="D68" s="11"/>
      <c r="E68" s="11"/>
      <c r="F68" s="12"/>
      <c r="G68" s="12" t="str">
        <v/>
      </c>
      <c r="H68" s="11"/>
    </row>
    <row r="69" customHeight="1" spans="2:8">
      <c r="B69" s="11"/>
      <c r="C69" s="11"/>
      <c r="D69" s="11"/>
      <c r="E69" s="11"/>
      <c r="F69" s="12"/>
      <c r="G69" s="12" t="str">
        <v/>
      </c>
      <c r="H69" s="11"/>
    </row>
    <row r="70" customHeight="1" spans="2:8">
      <c r="B70" s="11"/>
      <c r="C70" s="11"/>
      <c r="D70" s="11"/>
      <c r="E70" s="11"/>
      <c r="F70" s="12"/>
      <c r="G70" s="12" t="str">
        <v/>
      </c>
      <c r="H70" s="11"/>
    </row>
    <row r="71" customHeight="1" spans="2:8">
      <c r="B71" s="11"/>
      <c r="C71" s="11"/>
      <c r="D71" s="11"/>
      <c r="E71" s="11"/>
      <c r="F71" s="12"/>
      <c r="G71" s="12" t="str">
        <v/>
      </c>
      <c r="H71" s="11"/>
    </row>
    <row r="72" customHeight="1" spans="2:8">
      <c r="B72" s="11"/>
      <c r="C72" s="11"/>
      <c r="D72" s="11"/>
      <c r="E72" s="11"/>
      <c r="F72" s="12"/>
      <c r="G72" s="12" t="str">
        <v/>
      </c>
      <c r="H72" s="11"/>
    </row>
    <row r="73" customHeight="1" spans="2:8">
      <c r="B73" s="11"/>
      <c r="C73" s="11"/>
      <c r="D73" s="11"/>
      <c r="E73" s="11"/>
      <c r="F73" s="12"/>
      <c r="G73" s="12" t="str">
        <v/>
      </c>
      <c r="H73" s="11"/>
    </row>
    <row r="74" customHeight="1" spans="2:8">
      <c r="B74" s="11"/>
      <c r="C74" s="11"/>
      <c r="D74" s="11"/>
      <c r="E74" s="11"/>
      <c r="F74" s="12"/>
      <c r="G74" s="12" t="str">
        <v/>
      </c>
      <c r="H74" s="11"/>
    </row>
    <row r="75" customHeight="1" spans="2:8">
      <c r="B75" s="11"/>
      <c r="C75" s="11"/>
      <c r="D75" s="11"/>
      <c r="E75" s="11"/>
      <c r="F75" s="12"/>
      <c r="G75" s="12" t="str">
        <v/>
      </c>
      <c r="H75" s="11"/>
    </row>
    <row r="76" customHeight="1" spans="2:8">
      <c r="B76" s="11"/>
      <c r="C76" s="11"/>
      <c r="D76" s="11"/>
      <c r="E76" s="11"/>
      <c r="F76" s="12"/>
      <c r="G76" s="12" t="str">
        <v/>
      </c>
      <c r="H76" s="11"/>
    </row>
    <row r="77" customHeight="1" spans="2:8">
      <c r="B77" s="11"/>
      <c r="C77" s="11"/>
      <c r="D77" s="11"/>
      <c r="E77" s="11"/>
      <c r="F77" s="12"/>
      <c r="G77" s="12" t="str">
        <v/>
      </c>
      <c r="H77" s="11"/>
    </row>
    <row r="78" customHeight="1" spans="2:8">
      <c r="B78" s="11"/>
      <c r="C78" s="11"/>
      <c r="D78" s="11"/>
      <c r="E78" s="11"/>
      <c r="F78" s="12"/>
      <c r="G78" s="12" t="str">
        <v/>
      </c>
      <c r="H78" s="11"/>
    </row>
    <row r="79" customHeight="1" spans="2:8">
      <c r="B79" s="11"/>
      <c r="C79" s="11"/>
      <c r="D79" s="11"/>
      <c r="E79" s="11"/>
      <c r="F79" s="12"/>
      <c r="G79" s="12" t="str">
        <v/>
      </c>
      <c r="H79" s="11"/>
    </row>
    <row r="80" customHeight="1" spans="2:8">
      <c r="B80" s="11"/>
      <c r="C80" s="11"/>
      <c r="D80" s="11"/>
      <c r="E80" s="11"/>
      <c r="F80" s="12"/>
      <c r="G80" s="12" t="str">
        <v/>
      </c>
      <c r="H80" s="11"/>
    </row>
    <row r="81" customHeight="1" spans="2:8">
      <c r="B81" s="11"/>
      <c r="C81" s="11"/>
      <c r="D81" s="11"/>
      <c r="E81" s="11"/>
      <c r="F81" s="12"/>
      <c r="G81" s="12" t="str">
        <v/>
      </c>
      <c r="H81" s="11"/>
    </row>
    <row r="82" customHeight="1" spans="2:8">
      <c r="B82" s="11"/>
      <c r="C82" s="11"/>
      <c r="D82" s="11"/>
      <c r="E82" s="11"/>
      <c r="F82" s="12"/>
      <c r="G82" s="12" t="str">
        <v/>
      </c>
      <c r="H82" s="11"/>
    </row>
    <row r="83" customHeight="1" spans="2:8">
      <c r="B83" s="11"/>
      <c r="C83" s="11"/>
      <c r="D83" s="11"/>
      <c r="E83" s="11"/>
      <c r="F83" s="12"/>
      <c r="G83" s="12" t="str">
        <v/>
      </c>
      <c r="H83" s="11"/>
    </row>
    <row r="84" customHeight="1" spans="2:8">
      <c r="B84" s="11"/>
      <c r="C84" s="11"/>
      <c r="D84" s="11"/>
      <c r="E84" s="11"/>
      <c r="F84" s="12"/>
      <c r="G84" s="12" t="str">
        <v/>
      </c>
      <c r="H84" s="11"/>
    </row>
    <row r="85" customHeight="1" spans="2:8">
      <c r="B85" s="11"/>
      <c r="C85" s="11"/>
      <c r="D85" s="11"/>
      <c r="E85" s="11"/>
      <c r="F85" s="12"/>
      <c r="G85" s="12" t="str">
        <v/>
      </c>
      <c r="H85" s="11"/>
    </row>
    <row r="86" customHeight="1" spans="2:8">
      <c r="B86" s="11"/>
      <c r="C86" s="11"/>
      <c r="D86" s="11"/>
      <c r="E86" s="11"/>
      <c r="F86" s="12"/>
      <c r="G86" s="12" t="str">
        <v/>
      </c>
      <c r="H86" s="11"/>
    </row>
    <row r="87" customHeight="1" spans="2:8">
      <c r="B87" s="11"/>
      <c r="C87" s="11"/>
      <c r="D87" s="11"/>
      <c r="E87" s="11"/>
      <c r="F87" s="12"/>
      <c r="G87" s="12" t="str">
        <v/>
      </c>
      <c r="H87" s="11"/>
    </row>
    <row r="88" customHeight="1" spans="2:8">
      <c r="B88" s="11"/>
      <c r="C88" s="11"/>
      <c r="D88" s="11"/>
      <c r="E88" s="11"/>
      <c r="F88" s="12"/>
      <c r="G88" s="12" t="str">
        <v/>
      </c>
      <c r="H88" s="11"/>
    </row>
    <row r="89" customHeight="1" spans="2:8">
      <c r="B89" s="11"/>
      <c r="C89" s="11"/>
      <c r="D89" s="11"/>
      <c r="E89" s="11"/>
      <c r="F89" s="12"/>
      <c r="G89" s="12" t="str">
        <v/>
      </c>
      <c r="H89" s="11"/>
    </row>
    <row r="90" customHeight="1" spans="2:8">
      <c r="B90" s="11"/>
      <c r="C90" s="11"/>
      <c r="D90" s="11"/>
      <c r="E90" s="11"/>
      <c r="F90" s="12"/>
      <c r="G90" s="12" t="str">
        <v/>
      </c>
      <c r="H90" s="11"/>
    </row>
    <row r="91" customHeight="1" spans="2:8">
      <c r="B91" s="11"/>
      <c r="C91" s="11"/>
      <c r="D91" s="11"/>
      <c r="E91" s="11"/>
      <c r="F91" s="12"/>
      <c r="G91" s="12" t="str">
        <v/>
      </c>
      <c r="H91" s="11"/>
    </row>
    <row r="92" customHeight="1" spans="2:8">
      <c r="B92" s="11"/>
      <c r="C92" s="11"/>
      <c r="D92" s="11"/>
      <c r="E92" s="11"/>
      <c r="F92" s="12"/>
      <c r="G92" s="12" t="str">
        <v/>
      </c>
      <c r="H92" s="11"/>
    </row>
    <row r="93" customHeight="1" spans="2:8">
      <c r="B93" s="11"/>
      <c r="C93" s="11"/>
      <c r="D93" s="11"/>
      <c r="E93" s="11"/>
      <c r="F93" s="12"/>
      <c r="G93" s="12" t="str">
        <v/>
      </c>
      <c r="H93" s="11"/>
    </row>
    <row r="94" customHeight="1" spans="2:8">
      <c r="B94" s="11"/>
      <c r="C94" s="11"/>
      <c r="D94" s="11"/>
      <c r="E94" s="11"/>
      <c r="F94" s="12"/>
      <c r="G94" s="12" t="str">
        <v/>
      </c>
      <c r="H94" s="11"/>
    </row>
    <row r="95" customHeight="1" spans="2:8">
      <c r="B95" s="11"/>
      <c r="C95" s="11"/>
      <c r="D95" s="11"/>
      <c r="E95" s="11"/>
      <c r="F95" s="12"/>
      <c r="G95" s="12" t="str">
        <v/>
      </c>
      <c r="H95" s="11"/>
    </row>
    <row r="96" customHeight="1" spans="2:8">
      <c r="B96" s="11"/>
      <c r="C96" s="11"/>
      <c r="D96" s="11"/>
      <c r="E96" s="11"/>
      <c r="F96" s="12"/>
      <c r="G96" s="12" t="str">
        <v/>
      </c>
      <c r="H96" s="11"/>
    </row>
    <row r="97" customHeight="1" spans="2:8">
      <c r="B97" s="11"/>
      <c r="C97" s="11"/>
      <c r="D97" s="11"/>
      <c r="E97" s="11"/>
      <c r="F97" s="12"/>
      <c r="G97" s="12" t="str">
        <v/>
      </c>
      <c r="H97" s="11"/>
    </row>
    <row r="98" customHeight="1" spans="2:8">
      <c r="B98" s="11"/>
      <c r="C98" s="11"/>
      <c r="D98" s="11"/>
      <c r="E98" s="11"/>
      <c r="F98" s="12"/>
      <c r="G98" s="12" t="str">
        <v/>
      </c>
      <c r="H98" s="11"/>
    </row>
    <row r="99" customHeight="1" spans="2:8">
      <c r="B99" s="11"/>
      <c r="C99" s="11"/>
      <c r="D99" s="11"/>
      <c r="E99" s="11"/>
      <c r="F99" s="12"/>
      <c r="G99" s="12" t="str">
        <v/>
      </c>
      <c r="H99" s="11"/>
    </row>
    <row r="100" customHeight="1" spans="2:8">
      <c r="B100" s="11"/>
      <c r="C100" s="11"/>
      <c r="D100" s="11"/>
      <c r="E100" s="11"/>
      <c r="F100" s="12"/>
      <c r="G100" s="12" t="str">
        <v/>
      </c>
      <c r="H100" s="11"/>
    </row>
    <row r="101" customHeight="1" spans="2:8">
      <c r="B101" s="11"/>
      <c r="C101" s="11"/>
      <c r="D101" s="11"/>
      <c r="E101" s="11"/>
      <c r="F101" s="12"/>
      <c r="G101" s="12" t="str">
        <v/>
      </c>
      <c r="H101" s="11"/>
    </row>
    <row r="102" customHeight="1" spans="2:8">
      <c r="B102" s="11"/>
      <c r="C102" s="11"/>
      <c r="D102" s="11"/>
      <c r="E102" s="11"/>
      <c r="F102" s="12"/>
      <c r="G102" s="12" t="str">
        <v/>
      </c>
      <c r="H102" s="11"/>
    </row>
    <row r="103" customHeight="1" spans="2:8">
      <c r="B103" s="11"/>
      <c r="C103" s="11"/>
      <c r="D103" s="11"/>
      <c r="E103" s="11"/>
      <c r="F103" s="12"/>
      <c r="G103" s="12" t="str">
        <v/>
      </c>
      <c r="H103" s="11"/>
    </row>
    <row r="104" customHeight="1" spans="2:8">
      <c r="B104" s="11"/>
      <c r="C104" s="11"/>
      <c r="D104" s="11"/>
      <c r="E104" s="11"/>
      <c r="F104" s="12"/>
      <c r="G104" s="12" t="str">
        <v/>
      </c>
      <c r="H104" s="11"/>
    </row>
    <row r="105" customHeight="1" spans="2:8">
      <c r="B105" s="11"/>
      <c r="C105" s="11"/>
      <c r="D105" s="11"/>
      <c r="E105" s="11"/>
      <c r="F105" s="12"/>
      <c r="G105" s="12" t="str">
        <v/>
      </c>
      <c r="H105" s="11"/>
    </row>
    <row r="106" customHeight="1" spans="2:8">
      <c r="B106" s="11"/>
      <c r="C106" s="11"/>
      <c r="D106" s="11"/>
      <c r="E106" s="11"/>
      <c r="F106" s="12"/>
      <c r="G106" s="12" t="str">
        <v/>
      </c>
      <c r="H106" s="11"/>
    </row>
    <row r="107" customHeight="1" spans="2:8">
      <c r="B107" s="11"/>
      <c r="C107" s="11"/>
      <c r="D107" s="11"/>
      <c r="E107" s="11"/>
      <c r="F107" s="12"/>
      <c r="G107" s="12" t="str">
        <v/>
      </c>
      <c r="H107" s="11"/>
    </row>
    <row r="108" customHeight="1" spans="2:8">
      <c r="B108" s="11"/>
      <c r="C108" s="11"/>
      <c r="D108" s="11"/>
      <c r="E108" s="11"/>
      <c r="F108" s="12"/>
      <c r="G108" s="12" t="str">
        <v/>
      </c>
      <c r="H108" s="11"/>
    </row>
    <row r="109" customHeight="1" spans="2:8">
      <c r="B109" s="11"/>
      <c r="C109" s="11"/>
      <c r="D109" s="11"/>
      <c r="E109" s="11"/>
      <c r="F109" s="12"/>
      <c r="G109" s="12" t="str">
        <v/>
      </c>
      <c r="H109" s="11"/>
    </row>
    <row r="110" customHeight="1" spans="2:8">
      <c r="B110" s="11"/>
      <c r="C110" s="11"/>
      <c r="D110" s="11"/>
      <c r="E110" s="11"/>
      <c r="F110" s="12"/>
      <c r="G110" s="12" t="str">
        <v/>
      </c>
      <c r="H110" s="11"/>
    </row>
    <row r="111" customHeight="1" spans="2:8">
      <c r="B111" s="11"/>
      <c r="C111" s="11"/>
      <c r="D111" s="11"/>
      <c r="E111" s="11"/>
      <c r="F111" s="12"/>
      <c r="G111" s="12" t="str">
        <v/>
      </c>
      <c r="H111" s="11"/>
    </row>
    <row r="112" customHeight="1" spans="2:8">
      <c r="B112" s="11"/>
      <c r="C112" s="11"/>
      <c r="D112" s="11"/>
      <c r="E112" s="11"/>
      <c r="F112" s="12"/>
      <c r="G112" s="12" t="str">
        <v/>
      </c>
      <c r="H112" s="11"/>
    </row>
    <row r="113" customHeight="1" spans="2:8">
      <c r="B113" s="11"/>
      <c r="C113" s="11"/>
      <c r="D113" s="11"/>
      <c r="E113" s="11"/>
      <c r="F113" s="12"/>
      <c r="G113" s="12" t="str">
        <v/>
      </c>
      <c r="H113" s="11"/>
    </row>
    <row r="114" customHeight="1" spans="2:8">
      <c r="B114" s="11"/>
      <c r="C114" s="11"/>
      <c r="D114" s="11"/>
      <c r="E114" s="11"/>
      <c r="F114" s="12"/>
      <c r="G114" s="12" t="str">
        <v/>
      </c>
      <c r="H114" s="11"/>
    </row>
    <row r="115" customHeight="1" spans="2:8">
      <c r="B115" s="11"/>
      <c r="C115" s="11"/>
      <c r="D115" s="11"/>
      <c r="E115" s="11"/>
      <c r="F115" s="12"/>
      <c r="G115" s="12" t="str">
        <v/>
      </c>
      <c r="H115" s="11"/>
    </row>
    <row r="116" customHeight="1" spans="2:8">
      <c r="B116" s="11"/>
      <c r="C116" s="11"/>
      <c r="D116" s="11"/>
      <c r="E116" s="11"/>
      <c r="F116" s="12"/>
      <c r="G116" s="12" t="str">
        <v/>
      </c>
      <c r="H116" s="11"/>
    </row>
    <row r="117" customHeight="1" spans="2:8">
      <c r="B117" s="11"/>
      <c r="C117" s="11"/>
      <c r="D117" s="11"/>
      <c r="E117" s="11"/>
      <c r="F117" s="12"/>
      <c r="G117" s="12" t="str">
        <v/>
      </c>
      <c r="H117" s="11"/>
    </row>
    <row r="118" customHeight="1" spans="2:8">
      <c r="B118" s="11"/>
      <c r="C118" s="11"/>
      <c r="D118" s="11"/>
      <c r="E118" s="11"/>
      <c r="F118" s="12"/>
      <c r="G118" s="12" t="str">
        <v/>
      </c>
      <c r="H118" s="11"/>
    </row>
    <row r="119" customHeight="1" spans="2:8">
      <c r="B119" s="11"/>
      <c r="C119" s="11"/>
      <c r="D119" s="11"/>
      <c r="E119" s="11"/>
      <c r="F119" s="12"/>
      <c r="G119" s="12" t="str">
        <v/>
      </c>
      <c r="H119" s="11"/>
    </row>
    <row r="120" customHeight="1" spans="2:8">
      <c r="B120" s="11"/>
      <c r="C120" s="11"/>
      <c r="D120" s="11"/>
      <c r="E120" s="11"/>
      <c r="F120" s="12"/>
      <c r="G120" s="12" t="str">
        <v/>
      </c>
      <c r="H120" s="11"/>
    </row>
    <row r="121" customHeight="1" spans="2:8">
      <c r="B121" s="11"/>
      <c r="C121" s="11"/>
      <c r="D121" s="11"/>
      <c r="E121" s="11"/>
      <c r="F121" s="12"/>
      <c r="G121" s="12" t="str">
        <v/>
      </c>
      <c r="H121" s="11"/>
    </row>
    <row r="122" customHeight="1" spans="2:8">
      <c r="B122" s="11"/>
      <c r="C122" s="11"/>
      <c r="D122" s="11"/>
      <c r="E122" s="11"/>
      <c r="F122" s="12"/>
      <c r="G122" s="12" t="str">
        <v/>
      </c>
      <c r="H122" s="11"/>
    </row>
    <row r="123" customHeight="1" spans="2:8">
      <c r="B123" s="11"/>
      <c r="C123" s="11"/>
      <c r="D123" s="11"/>
      <c r="E123" s="11"/>
      <c r="F123" s="12"/>
      <c r="G123" s="12" t="str">
        <v/>
      </c>
      <c r="H123" s="11"/>
    </row>
    <row r="124" customHeight="1" spans="2:8">
      <c r="B124" s="11"/>
      <c r="C124" s="11"/>
      <c r="D124" s="11"/>
      <c r="E124" s="11"/>
      <c r="F124" s="12"/>
      <c r="G124" s="12" t="str">
        <v/>
      </c>
      <c r="H124" s="11"/>
    </row>
    <row r="125" customHeight="1" spans="2:8">
      <c r="B125" s="11"/>
      <c r="C125" s="11"/>
      <c r="D125" s="11"/>
      <c r="E125" s="11"/>
      <c r="F125" s="12"/>
      <c r="G125" s="12" t="str">
        <v/>
      </c>
      <c r="H125" s="11"/>
    </row>
    <row r="126" customHeight="1" spans="2:8">
      <c r="B126" s="11"/>
      <c r="C126" s="11"/>
      <c r="D126" s="11"/>
      <c r="E126" s="11"/>
      <c r="F126" s="12"/>
      <c r="G126" s="12" t="str">
        <v/>
      </c>
      <c r="H126" s="11"/>
    </row>
    <row r="127" customHeight="1" spans="2:8">
      <c r="B127" s="11"/>
      <c r="C127" s="11"/>
      <c r="D127" s="11"/>
      <c r="E127" s="11"/>
      <c r="F127" s="12"/>
      <c r="G127" s="12" t="str">
        <v/>
      </c>
      <c r="H127" s="11"/>
    </row>
    <row r="128" customHeight="1" spans="2:8">
      <c r="B128" s="11"/>
      <c r="C128" s="11"/>
      <c r="D128" s="11"/>
      <c r="E128" s="11"/>
      <c r="F128" s="12"/>
      <c r="G128" s="12" t="str">
        <v/>
      </c>
      <c r="H128" s="11"/>
    </row>
    <row r="129" customHeight="1" spans="2:8">
      <c r="B129" s="11"/>
      <c r="C129" s="11"/>
      <c r="D129" s="11"/>
      <c r="E129" s="11"/>
      <c r="F129" s="12"/>
      <c r="G129" s="12" t="str">
        <v/>
      </c>
      <c r="H129" s="11"/>
    </row>
    <row r="130" customHeight="1" spans="2:8">
      <c r="B130" s="11"/>
      <c r="C130" s="11"/>
      <c r="D130" s="11"/>
      <c r="E130" s="11"/>
      <c r="F130" s="12"/>
      <c r="G130" s="12" t="str">
        <v/>
      </c>
      <c r="H130" s="11"/>
    </row>
    <row r="131" customHeight="1" spans="2:8">
      <c r="B131" s="11"/>
      <c r="C131" s="11"/>
      <c r="D131" s="11"/>
      <c r="E131" s="11"/>
      <c r="F131" s="12"/>
      <c r="G131" s="12" t="str">
        <v/>
      </c>
      <c r="H131" s="11"/>
    </row>
    <row r="132" customHeight="1" spans="2:8">
      <c r="B132" s="11"/>
      <c r="C132" s="11"/>
      <c r="D132" s="11"/>
      <c r="E132" s="11"/>
      <c r="F132" s="12"/>
      <c r="G132" s="12" t="str">
        <v/>
      </c>
      <c r="H132" s="11"/>
    </row>
    <row r="133" customHeight="1" spans="2:8">
      <c r="B133" s="11"/>
      <c r="C133" s="11"/>
      <c r="D133" s="11"/>
      <c r="E133" s="11"/>
      <c r="F133" s="12"/>
      <c r="G133" s="12" t="str">
        <v/>
      </c>
      <c r="H133" s="11"/>
    </row>
    <row r="134" customHeight="1" spans="2:8">
      <c r="B134" s="11"/>
      <c r="C134" s="11"/>
      <c r="D134" s="11"/>
      <c r="E134" s="11"/>
      <c r="F134" s="12"/>
      <c r="G134" s="12" t="str">
        <v/>
      </c>
      <c r="H134" s="11"/>
    </row>
    <row r="135" customHeight="1" spans="2:8">
      <c r="B135" s="11"/>
      <c r="C135" s="11"/>
      <c r="D135" s="11"/>
      <c r="E135" s="11"/>
      <c r="F135" s="12"/>
      <c r="G135" s="12" t="str">
        <v/>
      </c>
      <c r="H135" s="11"/>
    </row>
    <row r="136" customHeight="1" spans="2:8">
      <c r="B136" s="11"/>
      <c r="C136" s="11"/>
      <c r="D136" s="11"/>
      <c r="E136" s="11"/>
      <c r="F136" s="12"/>
      <c r="G136" s="12" t="str">
        <v/>
      </c>
      <c r="H136" s="11"/>
    </row>
    <row r="137" customHeight="1" spans="2:8">
      <c r="B137" s="11"/>
      <c r="C137" s="11"/>
      <c r="D137" s="11"/>
      <c r="E137" s="11"/>
      <c r="F137" s="12"/>
      <c r="G137" s="12" t="str">
        <v/>
      </c>
      <c r="H137" s="11"/>
    </row>
    <row r="138" customHeight="1" spans="2:8">
      <c r="B138" s="11"/>
      <c r="C138" s="11"/>
      <c r="D138" s="11"/>
      <c r="E138" s="11"/>
      <c r="F138" s="12"/>
      <c r="G138" s="12" t="str">
        <v/>
      </c>
      <c r="H138" s="11"/>
    </row>
    <row r="139" customHeight="1" spans="2:8">
      <c r="B139" s="11"/>
      <c r="C139" s="11"/>
      <c r="D139" s="11"/>
      <c r="E139" s="11"/>
      <c r="F139" s="12"/>
      <c r="G139" s="12" t="str">
        <v/>
      </c>
      <c r="H139" s="11"/>
    </row>
    <row r="140" customHeight="1" spans="2:8">
      <c r="B140" s="11"/>
      <c r="C140" s="11"/>
      <c r="D140" s="11"/>
      <c r="E140" s="11"/>
      <c r="F140" s="12"/>
      <c r="G140" s="12" t="str">
        <v/>
      </c>
      <c r="H140" s="11"/>
    </row>
    <row r="141" customHeight="1" spans="2:8">
      <c r="B141" s="11"/>
      <c r="C141" s="11"/>
      <c r="D141" s="11"/>
      <c r="E141" s="11"/>
      <c r="F141" s="12"/>
      <c r="G141" s="12" t="str">
        <v/>
      </c>
      <c r="H141" s="11"/>
    </row>
    <row r="142" customHeight="1" spans="2:8">
      <c r="B142" s="11"/>
      <c r="C142" s="11"/>
      <c r="D142" s="11"/>
      <c r="E142" s="11"/>
      <c r="F142" s="12"/>
      <c r="G142" s="12" t="str">
        <v/>
      </c>
      <c r="H142" s="11"/>
    </row>
    <row r="143" customHeight="1" spans="2:8">
      <c r="B143" s="11"/>
      <c r="C143" s="11"/>
      <c r="D143" s="11"/>
      <c r="E143" s="11"/>
      <c r="F143" s="12"/>
      <c r="G143" s="12" t="str">
        <v/>
      </c>
      <c r="H143" s="11"/>
    </row>
    <row r="144" customHeight="1" spans="2:8">
      <c r="B144" s="11"/>
      <c r="C144" s="11"/>
      <c r="D144" s="11"/>
      <c r="E144" s="11"/>
      <c r="F144" s="12"/>
      <c r="G144" s="12" t="str">
        <v/>
      </c>
      <c r="H144" s="11"/>
    </row>
    <row r="145" customHeight="1" spans="2:8">
      <c r="B145" s="11"/>
      <c r="C145" s="11"/>
      <c r="D145" s="11"/>
      <c r="E145" s="11"/>
      <c r="F145" s="12"/>
      <c r="G145" s="12" t="str">
        <v/>
      </c>
      <c r="H145" s="11"/>
    </row>
    <row r="146" customHeight="1" spans="2:8">
      <c r="B146" s="11"/>
      <c r="C146" s="11"/>
      <c r="D146" s="11"/>
      <c r="E146" s="11"/>
      <c r="F146" s="12"/>
      <c r="G146" s="12" t="str">
        <v/>
      </c>
      <c r="H146" s="11"/>
    </row>
    <row r="147" customHeight="1" spans="2:8">
      <c r="B147" s="11"/>
      <c r="C147" s="11"/>
      <c r="D147" s="11"/>
      <c r="E147" s="11"/>
      <c r="F147" s="12"/>
      <c r="G147" s="12" t="str">
        <v/>
      </c>
      <c r="H147" s="11"/>
    </row>
    <row r="148" customHeight="1" spans="2:8">
      <c r="B148" s="11"/>
      <c r="C148" s="11"/>
      <c r="D148" s="11"/>
      <c r="E148" s="11"/>
      <c r="F148" s="12"/>
      <c r="G148" s="12" t="str">
        <v/>
      </c>
      <c r="H148" s="11"/>
    </row>
    <row r="149" customHeight="1" spans="2:8">
      <c r="B149" s="11"/>
      <c r="C149" s="11"/>
      <c r="D149" s="11"/>
      <c r="E149" s="11"/>
      <c r="F149" s="12"/>
      <c r="G149" s="12" t="str">
        <v/>
      </c>
      <c r="H149" s="11"/>
    </row>
    <row r="150" customHeight="1" spans="2:8">
      <c r="B150" s="11"/>
      <c r="C150" s="11"/>
      <c r="D150" s="11"/>
      <c r="E150" s="11"/>
      <c r="F150" s="12"/>
      <c r="G150" s="12" t="str">
        <v/>
      </c>
      <c r="H150" s="11"/>
    </row>
    <row r="151" customHeight="1" spans="2:8">
      <c r="B151" s="11"/>
      <c r="C151" s="11"/>
      <c r="D151" s="11"/>
      <c r="E151" s="11"/>
      <c r="F151" s="12"/>
      <c r="G151" s="12" t="str">
        <v/>
      </c>
      <c r="H151" s="11"/>
    </row>
    <row r="152" customHeight="1" spans="2:8">
      <c r="B152" s="11"/>
      <c r="C152" s="11"/>
      <c r="D152" s="11"/>
      <c r="E152" s="11"/>
      <c r="F152" s="12"/>
      <c r="G152" s="12" t="str">
        <v/>
      </c>
      <c r="H152" s="11"/>
    </row>
    <row r="153" customHeight="1" spans="2:8">
      <c r="B153" s="11"/>
      <c r="C153" s="11"/>
      <c r="D153" s="11"/>
      <c r="E153" s="11"/>
      <c r="F153" s="12"/>
      <c r="G153" s="12" t="str">
        <v/>
      </c>
      <c r="H153" s="11"/>
    </row>
    <row r="154" customHeight="1" spans="2:8">
      <c r="B154" s="11"/>
      <c r="C154" s="11"/>
      <c r="D154" s="11"/>
      <c r="E154" s="11"/>
      <c r="F154" s="12"/>
      <c r="G154" s="12" t="str">
        <v/>
      </c>
      <c r="H154" s="11"/>
    </row>
    <row r="155" customHeight="1" spans="2:8">
      <c r="B155" s="11"/>
      <c r="C155" s="11"/>
      <c r="D155" s="11"/>
      <c r="E155" s="11"/>
      <c r="F155" s="12"/>
      <c r="G155" s="12" t="str">
        <v/>
      </c>
      <c r="H155" s="11"/>
    </row>
    <row r="156" customHeight="1" spans="2:8">
      <c r="B156" s="11"/>
      <c r="C156" s="11"/>
      <c r="D156" s="11"/>
      <c r="E156" s="11"/>
      <c r="F156" s="12"/>
      <c r="G156" s="12" t="str">
        <v/>
      </c>
      <c r="H156" s="11"/>
    </row>
    <row r="157" customHeight="1" spans="2:8">
      <c r="B157" s="11"/>
      <c r="C157" s="11"/>
      <c r="D157" s="11"/>
      <c r="E157" s="11"/>
      <c r="F157" s="12"/>
      <c r="G157" s="12" t="str">
        <v/>
      </c>
      <c r="H157" s="11"/>
    </row>
    <row r="158" customHeight="1" spans="2:8">
      <c r="B158" s="11"/>
      <c r="C158" s="11"/>
      <c r="D158" s="11"/>
      <c r="E158" s="11"/>
      <c r="F158" s="12"/>
      <c r="G158" s="12" t="str">
        <v/>
      </c>
      <c r="H158" s="11"/>
    </row>
    <row r="159" customHeight="1" spans="2:8">
      <c r="B159" s="11"/>
      <c r="C159" s="11"/>
      <c r="D159" s="11"/>
      <c r="E159" s="11"/>
      <c r="F159" s="12"/>
      <c r="G159" s="12" t="str">
        <v/>
      </c>
      <c r="H159" s="11"/>
    </row>
    <row r="160" customHeight="1" spans="2:8">
      <c r="B160" s="11"/>
      <c r="C160" s="11"/>
      <c r="D160" s="11"/>
      <c r="E160" s="11"/>
      <c r="F160" s="12"/>
      <c r="G160" s="12" t="str">
        <v/>
      </c>
      <c r="H160" s="11"/>
    </row>
    <row r="161" customHeight="1" spans="2:8">
      <c r="B161" s="11"/>
      <c r="C161" s="11"/>
      <c r="D161" s="11"/>
      <c r="E161" s="11"/>
      <c r="F161" s="12"/>
      <c r="G161" s="12" t="str">
        <v/>
      </c>
      <c r="H161" s="11"/>
    </row>
    <row r="162" customHeight="1" spans="2:8">
      <c r="B162" s="11"/>
      <c r="C162" s="11"/>
      <c r="D162" s="11"/>
      <c r="E162" s="11"/>
      <c r="F162" s="12"/>
      <c r="G162" s="12" t="str">
        <v/>
      </c>
      <c r="H162" s="11"/>
    </row>
    <row r="163" customHeight="1" spans="2:8">
      <c r="B163" s="11"/>
      <c r="C163" s="11"/>
      <c r="D163" s="11"/>
      <c r="E163" s="11"/>
      <c r="F163" s="12"/>
      <c r="G163" s="12" t="str">
        <v/>
      </c>
      <c r="H163" s="11"/>
    </row>
    <row r="164" customHeight="1" spans="2:8">
      <c r="B164" s="11"/>
      <c r="C164" s="11"/>
      <c r="D164" s="11"/>
      <c r="E164" s="11"/>
      <c r="F164" s="12"/>
      <c r="G164" s="12" t="str">
        <v/>
      </c>
      <c r="H164" s="11"/>
    </row>
    <row r="165" customHeight="1" spans="2:8">
      <c r="B165" s="11"/>
      <c r="C165" s="11"/>
      <c r="D165" s="11"/>
      <c r="E165" s="11"/>
      <c r="F165" s="12"/>
      <c r="G165" s="12" t="str">
        <v/>
      </c>
      <c r="H165" s="11"/>
    </row>
    <row r="166" customHeight="1" spans="2:8">
      <c r="B166" s="11"/>
      <c r="C166" s="11"/>
      <c r="D166" s="11"/>
      <c r="E166" s="11"/>
      <c r="F166" s="12"/>
      <c r="G166" s="12" t="str">
        <v/>
      </c>
      <c r="H166" s="11"/>
    </row>
    <row r="167" customHeight="1" spans="2:8">
      <c r="B167" s="11"/>
      <c r="C167" s="11"/>
      <c r="D167" s="11"/>
      <c r="E167" s="11"/>
      <c r="F167" s="12"/>
      <c r="G167" s="12" t="str">
        <v/>
      </c>
      <c r="H167" s="11"/>
    </row>
    <row r="168" customHeight="1" spans="2:8">
      <c r="B168" s="11"/>
      <c r="C168" s="11"/>
      <c r="D168" s="11"/>
      <c r="E168" s="11"/>
      <c r="F168" s="12"/>
      <c r="G168" s="12" t="str">
        <v/>
      </c>
      <c r="H168" s="11"/>
    </row>
    <row r="169" customHeight="1" spans="2:8">
      <c r="B169" s="11"/>
      <c r="C169" s="11"/>
      <c r="D169" s="11"/>
      <c r="E169" s="11"/>
      <c r="F169" s="12"/>
      <c r="G169" s="12" t="str">
        <v/>
      </c>
      <c r="H169" s="11"/>
    </row>
    <row r="170" customHeight="1" spans="2:8">
      <c r="B170" s="11"/>
      <c r="C170" s="11"/>
      <c r="D170" s="11"/>
      <c r="E170" s="11"/>
      <c r="F170" s="12"/>
      <c r="G170" s="12" t="str">
        <v/>
      </c>
      <c r="H170" s="11"/>
    </row>
    <row r="171" customHeight="1" spans="2:8">
      <c r="B171" s="11"/>
      <c r="C171" s="11"/>
      <c r="D171" s="11"/>
      <c r="E171" s="11"/>
      <c r="F171" s="12"/>
      <c r="G171" s="12" t="str">
        <v/>
      </c>
      <c r="H171" s="11"/>
    </row>
    <row r="172" customHeight="1" spans="2:8">
      <c r="B172" s="11"/>
      <c r="C172" s="11"/>
      <c r="D172" s="11"/>
      <c r="E172" s="11"/>
      <c r="F172" s="12"/>
      <c r="G172" s="12" t="str">
        <v/>
      </c>
      <c r="H172" s="11"/>
    </row>
    <row r="173" customHeight="1" spans="2:8">
      <c r="B173" s="11"/>
      <c r="C173" s="11"/>
      <c r="D173" s="11"/>
      <c r="E173" s="11"/>
      <c r="F173" s="12"/>
      <c r="G173" s="12" t="str">
        <v/>
      </c>
      <c r="H173" s="11"/>
    </row>
    <row r="174" customHeight="1" spans="2:8">
      <c r="B174" s="11"/>
      <c r="C174" s="11"/>
      <c r="D174" s="11"/>
      <c r="E174" s="11"/>
      <c r="F174" s="12"/>
      <c r="G174" s="12" t="str">
        <v/>
      </c>
      <c r="H174" s="11"/>
    </row>
    <row r="175" customHeight="1" spans="2:8">
      <c r="B175" s="11"/>
      <c r="C175" s="11"/>
      <c r="D175" s="11"/>
      <c r="E175" s="11"/>
      <c r="F175" s="12"/>
      <c r="G175" s="12" t="str">
        <v/>
      </c>
      <c r="H175" s="11"/>
    </row>
    <row r="176" customHeight="1" spans="2:8">
      <c r="B176" s="11"/>
      <c r="C176" s="11"/>
      <c r="D176" s="11"/>
      <c r="E176" s="11"/>
      <c r="F176" s="12"/>
      <c r="G176" s="12" t="str">
        <v/>
      </c>
      <c r="H176" s="11"/>
    </row>
    <row r="177" customHeight="1" spans="2:8">
      <c r="B177" s="11"/>
      <c r="C177" s="11"/>
      <c r="D177" s="11"/>
      <c r="E177" s="11"/>
      <c r="F177" s="12"/>
      <c r="G177" s="12" t="str">
        <v/>
      </c>
      <c r="H177" s="11"/>
    </row>
    <row r="178" customHeight="1" spans="2:8">
      <c r="B178" s="11"/>
      <c r="C178" s="11"/>
      <c r="D178" s="11"/>
      <c r="E178" s="11"/>
      <c r="F178" s="12"/>
      <c r="G178" s="12" t="str">
        <v/>
      </c>
      <c r="H178" s="11"/>
    </row>
    <row r="179" customHeight="1" spans="2:8">
      <c r="B179" s="11"/>
      <c r="C179" s="11"/>
      <c r="D179" s="11"/>
      <c r="E179" s="11"/>
      <c r="F179" s="12"/>
      <c r="G179" s="12" t="str">
        <v/>
      </c>
      <c r="H179" s="11"/>
    </row>
    <row r="180" customHeight="1" spans="2:8">
      <c r="B180" s="11"/>
      <c r="C180" s="11"/>
      <c r="D180" s="11"/>
      <c r="E180" s="11"/>
      <c r="F180" s="12"/>
      <c r="G180" s="12" t="str">
        <v/>
      </c>
      <c r="H180" s="11"/>
    </row>
    <row r="181" customHeight="1" spans="2:8">
      <c r="B181" s="11"/>
      <c r="C181" s="11"/>
      <c r="D181" s="11"/>
      <c r="E181" s="11"/>
      <c r="F181" s="12"/>
      <c r="G181" s="12" t="str">
        <v/>
      </c>
      <c r="H181" s="11"/>
    </row>
    <row r="182" customHeight="1" spans="2:8">
      <c r="B182" s="11"/>
      <c r="C182" s="11"/>
      <c r="D182" s="11"/>
      <c r="E182" s="11"/>
      <c r="F182" s="12"/>
      <c r="G182" s="12" t="str">
        <v/>
      </c>
      <c r="H182" s="11"/>
    </row>
    <row r="183" customHeight="1" spans="2:8">
      <c r="B183" s="11"/>
      <c r="C183" s="11"/>
      <c r="D183" s="11"/>
      <c r="E183" s="11"/>
      <c r="F183" s="12"/>
      <c r="G183" s="12" t="str">
        <v/>
      </c>
      <c r="H183" s="11"/>
    </row>
    <row r="184" customHeight="1" spans="2:8">
      <c r="B184" s="11"/>
      <c r="C184" s="11"/>
      <c r="D184" s="11"/>
      <c r="E184" s="11"/>
      <c r="F184" s="12"/>
      <c r="G184" s="12" t="str">
        <v/>
      </c>
      <c r="H184" s="11"/>
    </row>
    <row r="185" customHeight="1" spans="2:8">
      <c r="B185" s="11"/>
      <c r="C185" s="11"/>
      <c r="D185" s="11"/>
      <c r="E185" s="11"/>
      <c r="F185" s="12"/>
      <c r="G185" s="12" t="str">
        <v/>
      </c>
      <c r="H185" s="11"/>
    </row>
    <row r="186" customHeight="1" spans="2:8">
      <c r="B186" s="11"/>
      <c r="C186" s="11"/>
      <c r="D186" s="11"/>
      <c r="E186" s="11"/>
      <c r="F186" s="12"/>
      <c r="G186" s="12" t="str">
        <v/>
      </c>
      <c r="H186" s="11"/>
    </row>
    <row r="187" customHeight="1" spans="2:8">
      <c r="B187" s="11"/>
      <c r="C187" s="11"/>
      <c r="D187" s="11"/>
      <c r="E187" s="11"/>
      <c r="F187" s="12"/>
      <c r="G187" s="12" t="str">
        <v/>
      </c>
      <c r="H187" s="11"/>
    </row>
    <row r="188" customHeight="1" spans="2:8">
      <c r="B188" s="11"/>
      <c r="C188" s="11"/>
      <c r="D188" s="11"/>
      <c r="E188" s="11"/>
      <c r="F188" s="12"/>
      <c r="G188" s="12" t="str">
        <v/>
      </c>
      <c r="H188" s="11"/>
    </row>
    <row r="189" customHeight="1" spans="2:8">
      <c r="B189" s="11"/>
      <c r="C189" s="11"/>
      <c r="D189" s="11"/>
      <c r="E189" s="11"/>
      <c r="F189" s="12"/>
      <c r="G189" s="12" t="str">
        <v/>
      </c>
      <c r="H189" s="11"/>
    </row>
    <row r="190" customHeight="1" spans="2:8">
      <c r="B190" s="11"/>
      <c r="C190" s="11"/>
      <c r="D190" s="11"/>
      <c r="E190" s="11"/>
      <c r="F190" s="12"/>
      <c r="G190" s="12" t="str">
        <v/>
      </c>
      <c r="H190" s="11"/>
    </row>
    <row r="191" customHeight="1" spans="2:8">
      <c r="B191" s="11"/>
      <c r="C191" s="11"/>
      <c r="D191" s="11"/>
      <c r="E191" s="11"/>
      <c r="F191" s="12"/>
      <c r="G191" s="12" t="str">
        <v/>
      </c>
      <c r="H191" s="11"/>
    </row>
    <row r="192" customHeight="1" spans="2:8">
      <c r="B192" s="11"/>
      <c r="C192" s="11"/>
      <c r="D192" s="11"/>
      <c r="E192" s="11"/>
      <c r="F192" s="12"/>
      <c r="G192" s="12" t="str">
        <v/>
      </c>
      <c r="H192" s="11"/>
    </row>
    <row r="193" customHeight="1" spans="2:8">
      <c r="B193" s="11"/>
      <c r="C193" s="11"/>
      <c r="D193" s="11"/>
      <c r="E193" s="11"/>
      <c r="F193" s="12"/>
      <c r="G193" s="12" t="str">
        <v/>
      </c>
      <c r="H193" s="11"/>
    </row>
    <row r="194" customHeight="1" spans="2:8">
      <c r="B194" s="11"/>
      <c r="C194" s="11"/>
      <c r="D194" s="11"/>
      <c r="E194" s="11"/>
      <c r="F194" s="12"/>
      <c r="G194" s="12" t="str">
        <v/>
      </c>
      <c r="H194" s="11"/>
    </row>
    <row r="195" customHeight="1" spans="2:8">
      <c r="B195" s="11"/>
      <c r="C195" s="11"/>
      <c r="D195" s="11"/>
      <c r="E195" s="11"/>
      <c r="F195" s="12"/>
      <c r="G195" s="12" t="str">
        <v/>
      </c>
      <c r="H195" s="11"/>
    </row>
    <row r="196" customHeight="1" spans="2:8">
      <c r="B196" s="11"/>
      <c r="C196" s="11"/>
      <c r="D196" s="11"/>
      <c r="E196" s="11"/>
      <c r="F196" s="12"/>
      <c r="G196" s="12" t="str">
        <v/>
      </c>
      <c r="H196" s="11"/>
    </row>
    <row r="197" customHeight="1" spans="2:8">
      <c r="B197" s="11"/>
      <c r="C197" s="11"/>
      <c r="D197" s="11"/>
      <c r="E197" s="11"/>
      <c r="F197" s="12"/>
      <c r="G197" s="12" t="str">
        <v/>
      </c>
      <c r="H197" s="11"/>
    </row>
    <row r="198" customHeight="1" spans="2:8">
      <c r="B198" s="11"/>
      <c r="C198" s="11"/>
      <c r="D198" s="11"/>
      <c r="E198" s="11"/>
      <c r="F198" s="12"/>
      <c r="G198" s="12" t="str">
        <v/>
      </c>
      <c r="H198" s="11"/>
    </row>
    <row r="199" customHeight="1" spans="2:8">
      <c r="B199" s="11"/>
      <c r="C199" s="11"/>
      <c r="D199" s="11"/>
      <c r="E199" s="11"/>
      <c r="F199" s="12"/>
      <c r="G199" s="12" t="str">
        <v/>
      </c>
      <c r="H199" s="11"/>
    </row>
    <row r="200" customHeight="1" spans="2:8">
      <c r="B200" s="11"/>
      <c r="C200" s="11"/>
      <c r="D200" s="11"/>
      <c r="E200" s="11"/>
      <c r="F200" s="12"/>
      <c r="G200" s="12" t="str">
        <v/>
      </c>
      <c r="H200" s="11"/>
    </row>
    <row r="201" customHeight="1" spans="2:8">
      <c r="B201" s="11"/>
      <c r="C201" s="11"/>
      <c r="D201" s="11"/>
      <c r="E201" s="11"/>
      <c r="F201" s="12"/>
      <c r="G201" s="12" t="str">
        <v/>
      </c>
      <c r="H201" s="11"/>
    </row>
    <row r="202" customHeight="1" spans="2:8">
      <c r="B202" s="11"/>
      <c r="C202" s="11"/>
      <c r="D202" s="11"/>
      <c r="E202" s="11"/>
      <c r="F202" s="12"/>
      <c r="G202" s="12" t="str">
        <v/>
      </c>
      <c r="H202" s="11"/>
    </row>
    <row r="203" customHeight="1" spans="2:8">
      <c r="B203" s="11"/>
      <c r="C203" s="11"/>
      <c r="D203" s="11"/>
      <c r="E203" s="11"/>
      <c r="F203" s="12"/>
      <c r="G203" s="12" t="str">
        <v/>
      </c>
      <c r="H203" s="11"/>
    </row>
    <row r="204" customHeight="1" spans="2:8">
      <c r="B204" s="11"/>
      <c r="C204" s="11"/>
      <c r="D204" s="11"/>
      <c r="E204" s="11"/>
      <c r="F204" s="12"/>
      <c r="G204" s="12" t="str">
        <v/>
      </c>
      <c r="H204" s="11"/>
    </row>
    <row r="205" customHeight="1" spans="2:8">
      <c r="B205" s="11"/>
      <c r="C205" s="11"/>
      <c r="D205" s="11"/>
      <c r="E205" s="11"/>
      <c r="F205" s="12"/>
      <c r="G205" s="12" t="str">
        <v/>
      </c>
      <c r="H205" s="11"/>
    </row>
  </sheetData>
  <mergeCells count="1">
    <mergeCell ref="B2:H2"/>
  </mergeCells>
  <dataValidations count="2">
    <dataValidation type="list" allowBlank="1" showErrorMessage="1" sqref="D6:D205">
      <formula1>"Furniture,Electronics,Stationery,Sports"</formula1>
    </dataValidation>
    <dataValidation type="list" allowBlank="1" showErrorMessage="1" sqref="H6:H205">
      <formula1>"New,Good,Fair,Poor"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G11"/>
  <sheetViews>
    <sheetView showGridLines="0" tabSelected="1" workbookViewId="0">
      <pane ySplit="4" topLeftCell="A5" activePane="bottomLeft" state="frozen"/>
      <selection/>
      <selection pane="bottomLeft" activeCell="G11" sqref="G11"/>
    </sheetView>
  </sheetViews>
  <sheetFormatPr defaultColWidth="12.6285714285714" defaultRowHeight="15.75" customHeight="1" outlineLevelCol="6"/>
  <cols>
    <col min="1" max="1" width="2.75238095238095" customWidth="1"/>
    <col min="2" max="2" width="33.6285714285714" customWidth="1"/>
    <col min="3" max="3" width="12.1333333333333" customWidth="1"/>
    <col min="4" max="6" width="10.5047619047619" customWidth="1"/>
    <col min="7" max="7" width="11.3809523809524" customWidth="1"/>
  </cols>
  <sheetData>
    <row r="1" ht="6.75" customHeight="1"/>
    <row r="2" ht="12.75" spans="2:7">
      <c r="B2" s="1" t="s">
        <v>493</v>
      </c>
    </row>
    <row r="4" ht="26.25" customHeight="1" spans="2:7">
      <c r="B4" s="2" t="s">
        <v>494</v>
      </c>
      <c r="C4" s="2" t="s">
        <v>495</v>
      </c>
      <c r="D4" s="2" t="s">
        <v>496</v>
      </c>
      <c r="E4" s="2" t="s">
        <v>497</v>
      </c>
      <c r="F4" s="2" t="s">
        <v>498</v>
      </c>
      <c r="G4" s="2" t="s">
        <v>499</v>
      </c>
    </row>
    <row r="5" ht="26.25" customHeight="1" spans="2:7">
      <c r="B5" s="3" t="s">
        <v>500</v>
      </c>
      <c r="C5" s="3" t="s">
        <v>501</v>
      </c>
      <c r="D5" s="4" t="s">
        <v>324</v>
      </c>
      <c r="E5" s="4" t="s">
        <v>58</v>
      </c>
      <c r="F5" s="4" t="s">
        <v>225</v>
      </c>
      <c r="G5" s="4" t="s">
        <v>502</v>
      </c>
    </row>
    <row r="6" ht="26.25" customHeight="1" spans="2:7">
      <c r="B6" s="3" t="s">
        <v>503</v>
      </c>
      <c r="C6" s="3" t="s">
        <v>501</v>
      </c>
      <c r="D6" s="4" t="s">
        <v>504</v>
      </c>
      <c r="E6" s="4" t="s">
        <v>324</v>
      </c>
      <c r="F6" s="4" t="s">
        <v>225</v>
      </c>
      <c r="G6" s="4" t="s">
        <v>505</v>
      </c>
    </row>
    <row r="7" ht="26.25" customHeight="1" spans="2:7">
      <c r="B7" s="3" t="s">
        <v>506</v>
      </c>
      <c r="C7" s="3" t="s">
        <v>501</v>
      </c>
      <c r="D7" s="4" t="s">
        <v>507</v>
      </c>
      <c r="E7" s="4" t="s">
        <v>508</v>
      </c>
      <c r="F7" s="4" t="s">
        <v>272</v>
      </c>
      <c r="G7" s="4" t="s">
        <v>509</v>
      </c>
    </row>
    <row r="8" ht="26.25" customHeight="1" spans="2:7">
      <c r="B8" s="3" t="s">
        <v>510</v>
      </c>
      <c r="C8" s="3" t="s">
        <v>511</v>
      </c>
      <c r="D8" s="4">
        <v>300</v>
      </c>
      <c r="E8" s="4">
        <v>300</v>
      </c>
      <c r="F8" s="4">
        <v>300</v>
      </c>
      <c r="G8" s="4">
        <v>900</v>
      </c>
    </row>
    <row r="9" ht="26.25" customHeight="1" spans="2:7">
      <c r="B9" s="3" t="s">
        <v>510</v>
      </c>
      <c r="C9" s="3" t="s">
        <v>512</v>
      </c>
      <c r="D9" s="4">
        <v>100</v>
      </c>
      <c r="E9" s="4">
        <v>100</v>
      </c>
      <c r="F9" s="4">
        <v>100</v>
      </c>
      <c r="G9" s="4">
        <v>300</v>
      </c>
    </row>
    <row r="10" ht="26.25" customHeight="1" spans="2:7">
      <c r="B10" s="3" t="s">
        <v>513</v>
      </c>
      <c r="C10" s="3" t="s">
        <v>514</v>
      </c>
      <c r="D10" s="4">
        <v>200</v>
      </c>
      <c r="E10" s="4">
        <v>200</v>
      </c>
      <c r="F10" s="4">
        <v>0</v>
      </c>
      <c r="G10" s="4">
        <v>400</v>
      </c>
    </row>
    <row r="11" ht="26.25" customHeight="1" spans="2:7">
      <c r="B11" s="3" t="s">
        <v>515</v>
      </c>
      <c r="C11" s="3" t="s">
        <v>516</v>
      </c>
      <c r="D11" s="4" t="s">
        <v>120</v>
      </c>
      <c r="E11" s="4" t="s">
        <v>120</v>
      </c>
      <c r="F11" s="4" t="s">
        <v>120</v>
      </c>
      <c r="G11" s="4" t="s">
        <v>517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Data Entry</vt:lpstr>
      <vt:lpstr>Grade Summary</vt:lpstr>
      <vt:lpstr>Staff Directory</vt:lpstr>
      <vt:lpstr>Inventory Tracker</vt:lpstr>
      <vt:lpstr>Fee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2026-08-17T04:31:05Z</dcterms:created>
  <dcterms:modified xsi:type="dcterms:W3CDTF">2026-08-17T05:22:36Z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1FE3B6420A1D4107957945782EDB7849_13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